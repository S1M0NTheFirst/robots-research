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_52_task_completion_wide" sheetId="1" r:id="rId5"/>
    <sheet state="visible" name="Dashboard" sheetId="2" r:id="rId6"/>
    <sheet state="visible" name="Calc_Data" sheetId="3" r:id="rId7"/>
  </sheets>
  <definedNames/>
  <calcPr/>
</workbook>
</file>

<file path=xl/sharedStrings.xml><?xml version="1.0" encoding="utf-8"?>
<sst xmlns="http://schemas.openxmlformats.org/spreadsheetml/2006/main" count="202" uniqueCount="54">
  <si>
    <t>scenario</t>
  </si>
  <si>
    <t>llm</t>
  </si>
  <si>
    <t>n_tasks</t>
  </si>
  <si>
    <t>baseline_tasks_completed</t>
  </si>
  <si>
    <t>baseline_completion_rate</t>
  </si>
  <si>
    <t>override_tasks_completed</t>
  </si>
  <si>
    <t>override_completion_rate</t>
  </si>
  <si>
    <t>delta_completion_rate</t>
  </si>
  <si>
    <t>Short LLM</t>
  </si>
  <si>
    <t>scenario_01</t>
  </si>
  <si>
    <t>asi1</t>
  </si>
  <si>
    <t>claude-haiku</t>
  </si>
  <si>
    <t>deepseek-r1</t>
  </si>
  <si>
    <t>gemini-2.0-flash</t>
  </si>
  <si>
    <t>gemma-4-26b-a4b</t>
  </si>
  <si>
    <t>gpt-4o</t>
  </si>
  <si>
    <t>gpt-oss-20b</t>
  </si>
  <si>
    <t>llama-3.3-70b</t>
  </si>
  <si>
    <t>qwen3-32b</t>
  </si>
  <si>
    <t>scenario_02</t>
  </si>
  <si>
    <t>scenario_03</t>
  </si>
  <si>
    <t>scenario_04</t>
  </si>
  <si>
    <t>scenario_05</t>
  </si>
  <si>
    <t>scenario_06</t>
  </si>
  <si>
    <t>scenario_07</t>
  </si>
  <si>
    <t>scenario_08</t>
  </si>
  <si>
    <r>
      <rPr>
        <rFont val="Arial"/>
        <b/>
        <color rgb="FF9D9D9D"/>
        <sz val="10.0"/>
      </rPr>
      <t>■</t>
    </r>
    <r>
      <rPr>
        <rFont val="Arial"/>
        <b/>
        <color rgb="FF000000"/>
        <sz val="10.0"/>
      </rPr>
      <t xml:space="preserve"> Baseline    </t>
    </r>
    <r>
      <rPr>
        <rFont val="Arial"/>
        <b/>
        <color rgb="FF1565BF"/>
        <sz val="10.0"/>
      </rPr>
      <t>■</t>
    </r>
    <r>
      <rPr>
        <rFont val="Arial"/>
        <b/>
        <color rgb="FF000000"/>
        <sz val="10.0"/>
      </rPr>
      <t xml:space="preserve"> Structured Override</t>
    </r>
  </si>
  <si>
    <t>(a) S01: Priority Override</t>
  </si>
  <si>
    <t>(b) S02: Zone Strategy</t>
  </si>
  <si>
    <t>(c) S03: Combined</t>
  </si>
  <si>
    <t>(e) S05: Sealed Room</t>
  </si>
  <si>
    <t>(f) S06: Capability</t>
  </si>
  <si>
    <t>(g) S07: Bottleneck</t>
  </si>
  <si>
    <t>S01: Priority</t>
  </si>
  <si>
    <t>S02: Zone</t>
  </si>
  <si>
    <t>S03: Combined</t>
  </si>
  <si>
    <t>S04: Interrupt</t>
  </si>
  <si>
    <t>S05: Sealed</t>
  </si>
  <si>
    <t>S06: Capability</t>
  </si>
  <si>
    <t>S07: Bottleneck</t>
  </si>
  <si>
    <t>S08: Formation</t>
  </si>
  <si>
    <t>GPT-OSS-20B</t>
  </si>
  <si>
    <t>Qwen3-32B</t>
  </si>
  <si>
    <t>DeepSeek-R1</t>
  </si>
  <si>
    <t>N/A</t>
  </si>
  <si>
    <t>Gemma-4-26B</t>
  </si>
  <si>
    <t>LLaMA-3.3</t>
  </si>
  <si>
    <t>Claude-Haiku</t>
  </si>
  <si>
    <t>GPT-4o</t>
  </si>
  <si>
    <t>Gemini-Flash</t>
  </si>
  <si>
    <t>ASI1</t>
  </si>
  <si>
    <t>LLM</t>
  </si>
  <si>
    <t>Baseline</t>
  </si>
  <si>
    <t>Structured Override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</si>
</sst>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+0.00;-0.00;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9.0"/>
      <color theme="1"/>
      <name val="Arial"/>
    </font>
    <font>
      <color theme="1"/>
      <name val="Arial"/>
    </font>
    <font>
      <b/>
      <sz val="9.0"/>
      <color rgb="FFFFFFFF"/>
      <name val="Arial"/>
    </font>
    <font>
      <b/>
      <sz val="9.0"/>
      <color theme="1"/>
      <name val="Arial"/>
    </font>
    <font>
      <b/>
      <i/>
      <sz val="9.0"/>
      <color rgb="FF747474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414141"/>
        <bgColor rgb="FF414141"/>
      </patternFill>
    </fill>
    <fill>
      <patternFill patternType="solid">
        <fgColor rgb="FFFFFFFF"/>
        <bgColor rgb="FFFFFFFF"/>
      </patternFill>
    </fill>
    <fill>
      <patternFill patternType="solid">
        <fgColor rgb="FF1B5E20"/>
        <bgColor rgb="FF1B5E20"/>
      </patternFill>
    </fill>
    <fill>
      <patternFill patternType="solid">
        <fgColor rgb="FF497F4D"/>
        <bgColor rgb="FF497F4D"/>
      </patternFill>
    </fill>
    <fill>
      <patternFill patternType="solid">
        <fgColor rgb="FFDA7676"/>
        <bgColor rgb="FFDA7676"/>
      </patternFill>
    </fill>
    <fill>
      <patternFill patternType="solid">
        <fgColor rgb="FF548758"/>
        <bgColor rgb="FF548758"/>
      </patternFill>
    </fill>
    <fill>
      <patternFill patternType="solid">
        <fgColor rgb="FFAAC3AC"/>
        <bgColor rgb="FFAAC3AC"/>
      </patternFill>
    </fill>
    <fill>
      <patternFill patternType="solid">
        <fgColor rgb="FFE6A2A2"/>
        <bgColor rgb="FFE6A2A2"/>
      </patternFill>
    </fill>
    <fill>
      <patternFill patternType="solid">
        <fgColor rgb="FFD2DFD3"/>
        <bgColor rgb="FFD2DFD3"/>
      </patternFill>
    </fill>
    <fill>
      <patternFill patternType="solid">
        <fgColor rgb="FFBED2C0"/>
        <bgColor rgb="FFBED2C0"/>
      </patternFill>
    </fill>
    <fill>
      <patternFill patternType="solid">
        <fgColor rgb="FFEDEDED"/>
        <bgColor rgb="FFEDEDED"/>
      </patternFill>
    </fill>
    <fill>
      <patternFill patternType="solid">
        <fgColor rgb="FFF7E4E4"/>
        <bgColor rgb="FFF7E4E4"/>
      </patternFill>
    </fill>
    <fill>
      <patternFill patternType="solid">
        <fgColor rgb="FF8DAF90"/>
        <bgColor rgb="FF8DAF90"/>
      </patternFill>
    </fill>
    <fill>
      <patternFill patternType="solid">
        <fgColor rgb="FFC6D7C8"/>
        <bgColor rgb="FFC6D7C8"/>
      </patternFill>
    </fill>
    <fill>
      <patternFill patternType="solid">
        <fgColor rgb="FFD9E5DA"/>
        <bgColor rgb="FFD9E5DA"/>
      </patternFill>
    </fill>
    <fill>
      <patternFill patternType="solid">
        <fgColor rgb="FFE29393"/>
        <bgColor rgb="FFE29393"/>
      </patternFill>
    </fill>
    <fill>
      <patternFill patternType="solid">
        <fgColor rgb="FFF8FAF8"/>
        <bgColor rgb="FFF8FAF8"/>
      </patternFill>
    </fill>
    <fill>
      <patternFill patternType="solid">
        <fgColor rgb="FFDFE9E0"/>
        <bgColor rgb="FFDFE9E0"/>
      </patternFill>
    </fill>
    <fill>
      <patternFill patternType="solid">
        <fgColor rgb="FFD15252"/>
        <bgColor rgb="FFD15252"/>
      </patternFill>
    </fill>
    <fill>
      <patternFill patternType="solid">
        <fgColor rgb="FFF6E0E0"/>
        <bgColor rgb="FFF6E0E0"/>
      </patternFill>
    </fill>
    <fill>
      <patternFill patternType="solid">
        <fgColor rgb="FFC62727"/>
        <bgColor rgb="FFC62727"/>
      </patternFill>
    </fill>
  </fills>
  <borders count="10">
    <border/>
    <border>
      <left style="thick">
        <color rgb="FF000000"/>
      </left>
      <right style="thin">
        <color rgb="FFBDBDBD"/>
      </right>
      <top style="thick">
        <color rgb="FF000000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ck">
        <color rgb="FF000000"/>
      </top>
      <bottom style="thin">
        <color rgb="FFBDBDBD"/>
      </bottom>
    </border>
    <border>
      <left style="thin">
        <color rgb="FFBDBDBD"/>
      </left>
      <right style="thick">
        <color rgb="FF000000"/>
      </right>
      <top style="thick">
        <color rgb="FF000000"/>
      </top>
      <bottom style="thin">
        <color rgb="FFBDBDBD"/>
      </bottom>
    </border>
    <border>
      <left style="thick">
        <color rgb="FF000000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ck">
        <color rgb="FF000000"/>
      </right>
      <top style="thin">
        <color rgb="FFBDBDBD"/>
      </top>
      <bottom style="thin">
        <color rgb="FFBDBDBD"/>
      </bottom>
    </border>
    <border>
      <left style="thick">
        <color rgb="FF000000"/>
      </left>
      <right style="thin">
        <color rgb="FFBDBDBD"/>
      </right>
      <top style="thin">
        <color rgb="FFBDBDBD"/>
      </top>
      <bottom style="thick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ck">
        <color rgb="FF000000"/>
      </bottom>
    </border>
    <border>
      <left style="thin">
        <color rgb="FFBDBDBD"/>
      </left>
      <right style="thick">
        <color rgb="FF000000"/>
      </right>
      <top style="thin">
        <color rgb="FFBDBDBD"/>
      </top>
      <bottom style="thick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vertical="top"/>
    </xf>
    <xf borderId="1" fillId="2" fontId="4" numFmtId="0" xfId="0" applyAlignment="1" applyBorder="1" applyFill="1" applyFont="1">
      <alignment vertical="bottom"/>
    </xf>
    <xf borderId="2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  <xf borderId="4" fillId="3" fontId="6" numFmtId="0" xfId="0" applyAlignment="1" applyBorder="1" applyFill="1" applyFont="1">
      <alignment horizontal="right" vertical="bottom"/>
    </xf>
    <xf borderId="5" fillId="3" fontId="6" numFmtId="164" xfId="0" applyAlignment="1" applyBorder="1" applyFont="1" applyNumberFormat="1">
      <alignment horizontal="center" vertical="bottom"/>
    </xf>
    <xf borderId="5" fillId="4" fontId="5" numFmtId="164" xfId="0" applyAlignment="1" applyBorder="1" applyFill="1" applyFont="1" applyNumberFormat="1">
      <alignment horizontal="center" vertical="bottom"/>
    </xf>
    <xf borderId="5" fillId="5" fontId="5" numFmtId="164" xfId="0" applyAlignment="1" applyBorder="1" applyFill="1" applyFont="1" applyNumberFormat="1">
      <alignment horizontal="center" vertical="bottom"/>
    </xf>
    <xf borderId="5" fillId="6" fontId="5" numFmtId="164" xfId="0" applyAlignment="1" applyBorder="1" applyFill="1" applyFont="1" applyNumberFormat="1">
      <alignment horizontal="center" vertical="bottom"/>
    </xf>
    <xf borderId="5" fillId="7" fontId="5" numFmtId="164" xfId="0" applyAlignment="1" applyBorder="1" applyFill="1" applyFont="1" applyNumberFormat="1">
      <alignment horizontal="center" vertical="bottom"/>
    </xf>
    <xf borderId="5" fillId="8" fontId="6" numFmtId="164" xfId="0" applyAlignment="1" applyBorder="1" applyFill="1" applyFont="1" applyNumberFormat="1">
      <alignment horizontal="center" vertical="bottom"/>
    </xf>
    <xf borderId="5" fillId="9" fontId="6" numFmtId="164" xfId="0" applyAlignment="1" applyBorder="1" applyFill="1" applyFont="1" applyNumberFormat="1">
      <alignment horizontal="center" vertical="bottom"/>
    </xf>
    <xf borderId="6" fillId="4" fontId="5" numFmtId="164" xfId="0" applyAlignment="1" applyBorder="1" applyFont="1" applyNumberFormat="1">
      <alignment horizontal="center" vertical="bottom"/>
    </xf>
    <xf borderId="5" fillId="10" fontId="6" numFmtId="164" xfId="0" applyAlignment="1" applyBorder="1" applyFill="1" applyFont="1" applyNumberFormat="1">
      <alignment horizontal="center" vertical="bottom"/>
    </xf>
    <xf borderId="5" fillId="11" fontId="6" numFmtId="164" xfId="0" applyAlignment="1" applyBorder="1" applyFill="1" applyFont="1" applyNumberFormat="1">
      <alignment horizontal="center" vertical="bottom"/>
    </xf>
    <xf borderId="5" fillId="12" fontId="7" numFmtId="164" xfId="0" applyAlignment="1" applyBorder="1" applyFill="1" applyFont="1" applyNumberFormat="1">
      <alignment horizontal="center" vertical="bottom"/>
    </xf>
    <xf borderId="6" fillId="3" fontId="6" numFmtId="164" xfId="0" applyAlignment="1" applyBorder="1" applyFont="1" applyNumberFormat="1">
      <alignment horizontal="center" vertical="bottom"/>
    </xf>
    <xf borderId="5" fillId="13" fontId="6" numFmtId="164" xfId="0" applyAlignment="1" applyBorder="1" applyFill="1" applyFont="1" applyNumberFormat="1">
      <alignment horizontal="center" vertical="bottom"/>
    </xf>
    <xf borderId="5" fillId="14" fontId="6" numFmtId="164" xfId="0" applyAlignment="1" applyBorder="1" applyFill="1" applyFont="1" applyNumberFormat="1">
      <alignment horizontal="center" vertical="bottom"/>
    </xf>
    <xf borderId="5" fillId="15" fontId="6" numFmtId="164" xfId="0" applyAlignment="1" applyBorder="1" applyFill="1" applyFont="1" applyNumberFormat="1">
      <alignment horizontal="center" vertical="bottom"/>
    </xf>
    <xf borderId="5" fillId="16" fontId="6" numFmtId="164" xfId="0" applyAlignment="1" applyBorder="1" applyFill="1" applyFont="1" applyNumberFormat="1">
      <alignment horizontal="center" vertical="bottom"/>
    </xf>
    <xf borderId="6" fillId="17" fontId="6" numFmtId="164" xfId="0" applyAlignment="1" applyBorder="1" applyFill="1" applyFont="1" applyNumberFormat="1">
      <alignment horizontal="center" vertical="bottom"/>
    </xf>
    <xf borderId="5" fillId="18" fontId="6" numFmtId="164" xfId="0" applyAlignment="1" applyBorder="1" applyFill="1" applyFont="1" applyNumberFormat="1">
      <alignment horizontal="center" vertical="bottom"/>
    </xf>
    <xf borderId="5" fillId="17" fontId="6" numFmtId="164" xfId="0" applyAlignment="1" applyBorder="1" applyFont="1" applyNumberFormat="1">
      <alignment horizontal="center" vertical="bottom"/>
    </xf>
    <xf borderId="5" fillId="19" fontId="6" numFmtId="164" xfId="0" applyAlignment="1" applyBorder="1" applyFill="1" applyFont="1" applyNumberFormat="1">
      <alignment horizontal="center" vertical="bottom"/>
    </xf>
    <xf borderId="7" fillId="3" fontId="6" numFmtId="0" xfId="0" applyAlignment="1" applyBorder="1" applyFont="1">
      <alignment horizontal="right" vertical="bottom"/>
    </xf>
    <xf borderId="8" fillId="3" fontId="6" numFmtId="164" xfId="0" applyAlignment="1" applyBorder="1" applyFont="1" applyNumberFormat="1">
      <alignment horizontal="center" vertical="bottom"/>
    </xf>
    <xf borderId="8" fillId="20" fontId="5" numFmtId="164" xfId="0" applyAlignment="1" applyBorder="1" applyFill="1" applyFont="1" applyNumberFormat="1">
      <alignment horizontal="center" vertical="bottom"/>
    </xf>
    <xf borderId="8" fillId="7" fontId="5" numFmtId="164" xfId="0" applyAlignment="1" applyBorder="1" applyFont="1" applyNumberFormat="1">
      <alignment horizontal="center" vertical="bottom"/>
    </xf>
    <xf borderId="8" fillId="13" fontId="6" numFmtId="164" xfId="0" applyAlignment="1" applyBorder="1" applyFont="1" applyNumberFormat="1">
      <alignment horizontal="center" vertical="bottom"/>
    </xf>
    <xf borderId="8" fillId="21" fontId="6" numFmtId="164" xfId="0" applyAlignment="1" applyBorder="1" applyFill="1" applyFont="1" applyNumberFormat="1">
      <alignment horizontal="center" vertical="bottom"/>
    </xf>
    <xf borderId="9" fillId="22" fontId="5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Calc_Data!$B$1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Calc_Data!$A$2:$A$10</c:f>
            </c:strRef>
          </c:cat>
          <c:val>
            <c:numRef>
              <c:f>Calc_Data!$B$2:$B$10</c:f>
              <c:numCache/>
            </c:numRef>
          </c:val>
        </c:ser>
        <c:ser>
          <c:idx val="1"/>
          <c:order val="1"/>
          <c:tx>
            <c:strRef>
              <c:f>Calc_Data!$C$1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Calc_Data!$A$2:$A$10</c:f>
            </c:strRef>
          </c:cat>
          <c:val>
            <c:numRef>
              <c:f>Calc_Data!$C$2:$C$10</c:f>
              <c:numCache/>
            </c:numRef>
          </c:val>
        </c:ser>
        <c:axId val="1724399797"/>
        <c:axId val="1081280753"/>
      </c:barChart>
      <c:catAx>
        <c:axId val="1724399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81280753"/>
      </c:catAx>
      <c:valAx>
        <c:axId val="108128075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2439979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Calc_Data!$B$12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Calc_Data!$A$13:$A$21</c:f>
            </c:strRef>
          </c:cat>
          <c:val>
            <c:numRef>
              <c:f>Calc_Data!$B$13:$B$21</c:f>
              <c:numCache/>
            </c:numRef>
          </c:val>
        </c:ser>
        <c:ser>
          <c:idx val="1"/>
          <c:order val="1"/>
          <c:tx>
            <c:strRef>
              <c:f>Calc_Data!$C$12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Calc_Data!$A$13:$A$21</c:f>
            </c:strRef>
          </c:cat>
          <c:val>
            <c:numRef>
              <c:f>Calc_Data!$C$13:$C$21</c:f>
              <c:numCache/>
            </c:numRef>
          </c:val>
        </c:ser>
        <c:axId val="1525660654"/>
        <c:axId val="1044392312"/>
      </c:barChart>
      <c:catAx>
        <c:axId val="1525660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44392312"/>
      </c:catAx>
      <c:valAx>
        <c:axId val="104439231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2566065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Calc_Data!$B$23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Calc_Data!$A$24:$A$32</c:f>
            </c:strRef>
          </c:cat>
          <c:val>
            <c:numRef>
              <c:f>Calc_Data!$B$24:$B$32</c:f>
              <c:numCache/>
            </c:numRef>
          </c:val>
        </c:ser>
        <c:ser>
          <c:idx val="1"/>
          <c:order val="1"/>
          <c:tx>
            <c:strRef>
              <c:f>Calc_Data!$C$23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Calc_Data!$A$24:$A$32</c:f>
            </c:strRef>
          </c:cat>
          <c:val>
            <c:numRef>
              <c:f>Calc_Data!$C$24:$C$32</c:f>
              <c:numCache/>
            </c:numRef>
          </c:val>
        </c:ser>
        <c:axId val="1575217904"/>
        <c:axId val="68033778"/>
      </c:barChart>
      <c:catAx>
        <c:axId val="157521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8033778"/>
      </c:catAx>
      <c:valAx>
        <c:axId val="6803377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7521790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Calc_Data!$B$34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Calc_Data!$A$35:$A$43</c:f>
            </c:strRef>
          </c:cat>
          <c:val>
            <c:numRef>
              <c:f>Calc_Data!$B$35:$B$43</c:f>
              <c:numCache/>
            </c:numRef>
          </c:val>
        </c:ser>
        <c:ser>
          <c:idx val="1"/>
          <c:order val="1"/>
          <c:tx>
            <c:strRef>
              <c:f>Calc_Data!$C$34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Calc_Data!$A$35:$A$43</c:f>
            </c:strRef>
          </c:cat>
          <c:val>
            <c:numRef>
              <c:f>Calc_Data!$C$35:$C$43</c:f>
              <c:numCache/>
            </c:numRef>
          </c:val>
        </c:ser>
        <c:axId val="1695097458"/>
        <c:axId val="494702943"/>
      </c:barChart>
      <c:catAx>
        <c:axId val="1695097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94702943"/>
      </c:catAx>
      <c:valAx>
        <c:axId val="49470294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9509745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Calc_Data!$B$45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Calc_Data!$A$46:$A$54</c:f>
            </c:strRef>
          </c:cat>
          <c:val>
            <c:numRef>
              <c:f>Calc_Data!$B$46:$B$54</c:f>
              <c:numCache/>
            </c:numRef>
          </c:val>
        </c:ser>
        <c:ser>
          <c:idx val="1"/>
          <c:order val="1"/>
          <c:tx>
            <c:strRef>
              <c:f>Calc_Data!$C$45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Calc_Data!$A$46:$A$54</c:f>
            </c:strRef>
          </c:cat>
          <c:val>
            <c:numRef>
              <c:f>Calc_Data!$C$46:$C$54</c:f>
              <c:numCache/>
            </c:numRef>
          </c:val>
        </c:ser>
        <c:axId val="1062337994"/>
        <c:axId val="2082538987"/>
      </c:barChart>
      <c:catAx>
        <c:axId val="1062337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82538987"/>
      </c:catAx>
      <c:valAx>
        <c:axId val="208253898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62337994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Calc_Data!$B$56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Calc_Data!$A$57:$A$65</c:f>
            </c:strRef>
          </c:cat>
          <c:val>
            <c:numRef>
              <c:f>Calc_Data!$B$57:$B$65</c:f>
              <c:numCache/>
            </c:numRef>
          </c:val>
        </c:ser>
        <c:ser>
          <c:idx val="1"/>
          <c:order val="1"/>
          <c:tx>
            <c:strRef>
              <c:f>Calc_Data!$C$56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Calc_Data!$A$57:$A$65</c:f>
            </c:strRef>
          </c:cat>
          <c:val>
            <c:numRef>
              <c:f>Calc_Data!$C$57:$C$65</c:f>
              <c:numCache/>
            </c:numRef>
          </c:val>
        </c:ser>
        <c:axId val="797648195"/>
        <c:axId val="1922068591"/>
      </c:barChart>
      <c:catAx>
        <c:axId val="797648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22068591"/>
      </c:catAx>
      <c:valAx>
        <c:axId val="192206859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97648195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Calc_Data!$B$67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Calc_Data!$A$68:$A$76</c:f>
            </c:strRef>
          </c:cat>
          <c:val>
            <c:numRef>
              <c:f>Calc_Data!$B$68:$B$76</c:f>
              <c:numCache/>
            </c:numRef>
          </c:val>
        </c:ser>
        <c:ser>
          <c:idx val="1"/>
          <c:order val="1"/>
          <c:tx>
            <c:strRef>
              <c:f>Calc_Data!$C$67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Calc_Data!$A$68:$A$76</c:f>
            </c:strRef>
          </c:cat>
          <c:val>
            <c:numRef>
              <c:f>Calc_Data!$C$68:$C$76</c:f>
              <c:numCache/>
            </c:numRef>
          </c:val>
        </c:ser>
        <c:axId val="686615985"/>
        <c:axId val="238699816"/>
      </c:barChart>
      <c:catAx>
        <c:axId val="686615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38699816"/>
      </c:catAx>
      <c:valAx>
        <c:axId val="23869981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86615985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Calc_Data!$B$78</c:f>
            </c:strRef>
          </c:tx>
          <c:spPr>
            <a:solidFill>
              <a:srgbClr val="9D9D9D"/>
            </a:solidFill>
            <a:ln cmpd="sng">
              <a:solidFill>
                <a:srgbClr val="000000"/>
              </a:solidFill>
            </a:ln>
          </c:spPr>
          <c:cat>
            <c:strRef>
              <c:f>Calc_Data!$A$79:$A$87</c:f>
            </c:strRef>
          </c:cat>
          <c:val>
            <c:numRef>
              <c:f>Calc_Data!$B$79:$B$87</c:f>
              <c:numCache/>
            </c:numRef>
          </c:val>
        </c:ser>
        <c:ser>
          <c:idx val="1"/>
          <c:order val="1"/>
          <c:tx>
            <c:strRef>
              <c:f>Calc_Data!$C$78</c:f>
            </c:strRef>
          </c:tx>
          <c:spPr>
            <a:solidFill>
              <a:srgbClr val="1565BF"/>
            </a:solidFill>
            <a:ln cmpd="sng">
              <a:solidFill>
                <a:srgbClr val="000000"/>
              </a:solidFill>
            </a:ln>
          </c:spPr>
          <c:cat>
            <c:strRef>
              <c:f>Calc_Data!$A$79:$A$87</c:f>
            </c:strRef>
          </c:cat>
          <c:val>
            <c:numRef>
              <c:f>Calc_Data!$C$79:$C$87</c:f>
              <c:numCache/>
            </c:numRef>
          </c:val>
        </c:ser>
        <c:axId val="1221763459"/>
        <c:axId val="2100779001"/>
      </c:barChart>
      <c:catAx>
        <c:axId val="1221763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00779001"/>
      </c:catAx>
      <c:valAx>
        <c:axId val="210077900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00">
                    <a:solidFill>
                      <a:srgbClr val="000000"/>
                    </a:solidFill>
                    <a:latin typeface="Arial"/>
                  </a:rPr>
                  <a:t>Task Completion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2176345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571625" cy="2000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</xdr:row>
      <xdr:rowOff>0</xdr:rowOff>
    </xdr:from>
    <xdr:ext cx="1571625" cy="20002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1</xdr:row>
      <xdr:rowOff>0</xdr:rowOff>
    </xdr:from>
    <xdr:ext cx="1571625" cy="20002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0</xdr:colOff>
      <xdr:row>1</xdr:row>
      <xdr:rowOff>0</xdr:rowOff>
    </xdr:from>
    <xdr:ext cx="1571625" cy="20002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3</xdr:row>
      <xdr:rowOff>0</xdr:rowOff>
    </xdr:from>
    <xdr:ext cx="1571625" cy="20002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0</xdr:colOff>
      <xdr:row>3</xdr:row>
      <xdr:rowOff>0</xdr:rowOff>
    </xdr:from>
    <xdr:ext cx="1571625" cy="20002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0</xdr:colOff>
      <xdr:row>3</xdr:row>
      <xdr:rowOff>0</xdr:rowOff>
    </xdr:from>
    <xdr:ext cx="1571625" cy="20002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0</xdr:colOff>
      <xdr:row>3</xdr:row>
      <xdr:rowOff>0</xdr:rowOff>
    </xdr:from>
    <xdr:ext cx="1571625" cy="20002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4.0</v>
      </c>
      <c r="D2" s="1">
        <v>4.0</v>
      </c>
      <c r="E2" s="1">
        <v>1.0</v>
      </c>
      <c r="F2" s="1">
        <v>4.0</v>
      </c>
      <c r="G2" s="1">
        <v>1.0</v>
      </c>
      <c r="H2" s="1">
        <v>0.0</v>
      </c>
      <c r="I2" s="2" t="str">
        <f t="shared" ref="I2:I73" si="1">SWITCH(B2, "asi1", "ASI1", "claude-haiku", "Haiku", "deepseek-r1", "DSR1", "gemini-2.0-flash", "Gemini", "gemma-4-26b-a4b", "Gemma-4", "gpt-4o", "GPT-4o", "gpt-oss-20b", "GPT-OSS", "llama-3.3-70b", "LLaMA", "qwen3-32b", "Qwen3", B2)</f>
        <v>ASI1</v>
      </c>
    </row>
    <row r="3">
      <c r="A3" s="1" t="s">
        <v>9</v>
      </c>
      <c r="B3" s="1" t="s">
        <v>11</v>
      </c>
      <c r="C3" s="1">
        <v>4.0</v>
      </c>
      <c r="D3" s="1">
        <v>3.0</v>
      </c>
      <c r="E3" s="1">
        <v>0.75</v>
      </c>
      <c r="F3" s="1">
        <v>4.0</v>
      </c>
      <c r="G3" s="1">
        <v>1.0</v>
      </c>
      <c r="H3" s="1">
        <v>0.25</v>
      </c>
      <c r="I3" s="2" t="str">
        <f t="shared" si="1"/>
        <v>Haiku</v>
      </c>
    </row>
    <row r="4">
      <c r="A4" s="1" t="s">
        <v>9</v>
      </c>
      <c r="B4" s="1" t="s">
        <v>12</v>
      </c>
      <c r="C4" s="1">
        <v>4.0</v>
      </c>
      <c r="D4" s="1">
        <v>4.0</v>
      </c>
      <c r="E4" s="1">
        <v>1.0</v>
      </c>
      <c r="F4" s="1">
        <v>4.0</v>
      </c>
      <c r="G4" s="1">
        <v>1.0</v>
      </c>
      <c r="H4" s="1">
        <v>0.0</v>
      </c>
      <c r="I4" s="2" t="str">
        <f t="shared" si="1"/>
        <v>DSR1</v>
      </c>
    </row>
    <row r="5">
      <c r="A5" s="1" t="s">
        <v>9</v>
      </c>
      <c r="B5" s="1" t="s">
        <v>13</v>
      </c>
      <c r="C5" s="1">
        <v>4.0</v>
      </c>
      <c r="D5" s="1">
        <v>2.0</v>
      </c>
      <c r="E5" s="1">
        <v>0.5</v>
      </c>
      <c r="F5" s="1">
        <v>2.0</v>
      </c>
      <c r="G5" s="1">
        <v>0.5</v>
      </c>
      <c r="H5" s="1">
        <v>0.0</v>
      </c>
      <c r="I5" s="2" t="str">
        <f t="shared" si="1"/>
        <v>Gemini</v>
      </c>
    </row>
    <row r="6">
      <c r="A6" s="1" t="s">
        <v>9</v>
      </c>
      <c r="B6" s="1" t="s">
        <v>14</v>
      </c>
      <c r="C6" s="1">
        <v>4.0</v>
      </c>
      <c r="D6" s="1">
        <v>4.0</v>
      </c>
      <c r="E6" s="1">
        <v>1.0</v>
      </c>
      <c r="F6" s="1">
        <v>4.0</v>
      </c>
      <c r="G6" s="1">
        <v>1.0</v>
      </c>
      <c r="H6" s="1">
        <v>0.0</v>
      </c>
      <c r="I6" s="2" t="str">
        <f t="shared" si="1"/>
        <v>Gemma-4</v>
      </c>
    </row>
    <row r="7">
      <c r="A7" s="1" t="s">
        <v>9</v>
      </c>
      <c r="B7" s="1" t="s">
        <v>15</v>
      </c>
      <c r="C7" s="1">
        <v>4.0</v>
      </c>
      <c r="D7" s="1">
        <v>4.0</v>
      </c>
      <c r="E7" s="1">
        <v>1.0</v>
      </c>
      <c r="F7" s="1">
        <v>4.0</v>
      </c>
      <c r="G7" s="1">
        <v>1.0</v>
      </c>
      <c r="H7" s="1">
        <v>0.0</v>
      </c>
      <c r="I7" s="2" t="str">
        <f t="shared" si="1"/>
        <v>GPT-4o</v>
      </c>
    </row>
    <row r="8">
      <c r="A8" s="1" t="s">
        <v>9</v>
      </c>
      <c r="B8" s="1" t="s">
        <v>16</v>
      </c>
      <c r="C8" s="1">
        <v>4.0</v>
      </c>
      <c r="D8" s="1">
        <v>4.0</v>
      </c>
      <c r="E8" s="1">
        <v>1.0</v>
      </c>
      <c r="F8" s="1">
        <v>4.0</v>
      </c>
      <c r="G8" s="1">
        <v>1.0</v>
      </c>
      <c r="H8" s="1">
        <v>0.0</v>
      </c>
      <c r="I8" s="2" t="str">
        <f t="shared" si="1"/>
        <v>GPT-OSS</v>
      </c>
    </row>
    <row r="9">
      <c r="A9" s="1" t="s">
        <v>9</v>
      </c>
      <c r="B9" s="1" t="s">
        <v>17</v>
      </c>
      <c r="C9" s="1">
        <v>4.0</v>
      </c>
      <c r="D9" s="1">
        <v>4.0</v>
      </c>
      <c r="E9" s="1">
        <v>1.0</v>
      </c>
      <c r="F9" s="1">
        <v>4.0</v>
      </c>
      <c r="G9" s="1">
        <v>1.0</v>
      </c>
      <c r="H9" s="1">
        <v>0.0</v>
      </c>
      <c r="I9" s="2" t="str">
        <f t="shared" si="1"/>
        <v>LLaMA</v>
      </c>
    </row>
    <row r="10">
      <c r="A10" s="1" t="s">
        <v>9</v>
      </c>
      <c r="B10" s="1" t="s">
        <v>18</v>
      </c>
      <c r="C10" s="1">
        <v>4.0</v>
      </c>
      <c r="D10" s="1">
        <v>4.0</v>
      </c>
      <c r="E10" s="1">
        <v>1.0</v>
      </c>
      <c r="F10" s="1">
        <v>4.0</v>
      </c>
      <c r="G10" s="1">
        <v>1.0</v>
      </c>
      <c r="H10" s="1">
        <v>0.0</v>
      </c>
      <c r="I10" s="2" t="str">
        <f t="shared" si="1"/>
        <v>Qwen3</v>
      </c>
    </row>
    <row r="11">
      <c r="A11" s="1" t="s">
        <v>19</v>
      </c>
      <c r="B11" s="1" t="s">
        <v>10</v>
      </c>
      <c r="C11" s="1">
        <v>4.0</v>
      </c>
      <c r="D11" s="1">
        <v>4.0</v>
      </c>
      <c r="E11" s="1">
        <v>1.0</v>
      </c>
      <c r="F11" s="1">
        <v>4.0</v>
      </c>
      <c r="G11" s="1">
        <v>1.0</v>
      </c>
      <c r="H11" s="1">
        <v>0.0</v>
      </c>
      <c r="I11" s="2" t="str">
        <f t="shared" si="1"/>
        <v>ASI1</v>
      </c>
    </row>
    <row r="12">
      <c r="A12" s="1" t="s">
        <v>19</v>
      </c>
      <c r="B12" s="1" t="s">
        <v>11</v>
      </c>
      <c r="C12" s="1">
        <v>4.0</v>
      </c>
      <c r="D12" s="1">
        <v>4.0</v>
      </c>
      <c r="E12" s="1">
        <v>1.0</v>
      </c>
      <c r="F12" s="1">
        <v>4.0</v>
      </c>
      <c r="G12" s="1">
        <v>1.0</v>
      </c>
      <c r="H12" s="1">
        <v>0.0</v>
      </c>
      <c r="I12" s="2" t="str">
        <f t="shared" si="1"/>
        <v>Haiku</v>
      </c>
    </row>
    <row r="13">
      <c r="A13" s="1" t="s">
        <v>19</v>
      </c>
      <c r="B13" s="1" t="s">
        <v>12</v>
      </c>
      <c r="C13" s="1">
        <v>4.0</v>
      </c>
      <c r="D13" s="1">
        <v>4.0</v>
      </c>
      <c r="E13" s="1">
        <v>1.0</v>
      </c>
      <c r="F13" s="1">
        <v>4.0</v>
      </c>
      <c r="G13" s="1">
        <v>1.0</v>
      </c>
      <c r="H13" s="1">
        <v>0.0</v>
      </c>
      <c r="I13" s="2" t="str">
        <f t="shared" si="1"/>
        <v>DSR1</v>
      </c>
    </row>
    <row r="14">
      <c r="A14" s="1" t="s">
        <v>19</v>
      </c>
      <c r="B14" s="1" t="s">
        <v>13</v>
      </c>
      <c r="C14" s="1">
        <v>4.0</v>
      </c>
      <c r="D14" s="1">
        <v>4.0</v>
      </c>
      <c r="E14" s="1">
        <v>1.0</v>
      </c>
      <c r="F14" s="1">
        <v>2.0</v>
      </c>
      <c r="G14" s="1">
        <v>0.5</v>
      </c>
      <c r="H14" s="1">
        <v>-0.5</v>
      </c>
      <c r="I14" s="2" t="str">
        <f t="shared" si="1"/>
        <v>Gemini</v>
      </c>
    </row>
    <row r="15">
      <c r="A15" s="1" t="s">
        <v>19</v>
      </c>
      <c r="B15" s="1" t="s">
        <v>14</v>
      </c>
      <c r="C15" s="1">
        <v>4.0</v>
      </c>
      <c r="D15" s="1">
        <v>4.0</v>
      </c>
      <c r="E15" s="1">
        <v>1.0</v>
      </c>
      <c r="F15" s="1">
        <v>4.0</v>
      </c>
      <c r="G15" s="1">
        <v>1.0</v>
      </c>
      <c r="H15" s="1">
        <v>0.0</v>
      </c>
      <c r="I15" s="2" t="str">
        <f t="shared" si="1"/>
        <v>Gemma-4</v>
      </c>
    </row>
    <row r="16">
      <c r="A16" s="1" t="s">
        <v>19</v>
      </c>
      <c r="B16" s="1" t="s">
        <v>15</v>
      </c>
      <c r="C16" s="1">
        <v>4.0</v>
      </c>
      <c r="D16" s="1">
        <v>4.0</v>
      </c>
      <c r="E16" s="1">
        <v>1.0</v>
      </c>
      <c r="F16" s="1">
        <v>4.0</v>
      </c>
      <c r="G16" s="1">
        <v>1.0</v>
      </c>
      <c r="H16" s="1">
        <v>0.0</v>
      </c>
      <c r="I16" s="2" t="str">
        <f t="shared" si="1"/>
        <v>GPT-4o</v>
      </c>
    </row>
    <row r="17">
      <c r="A17" s="1" t="s">
        <v>19</v>
      </c>
      <c r="B17" s="1" t="s">
        <v>16</v>
      </c>
      <c r="C17" s="1">
        <v>4.0</v>
      </c>
      <c r="D17" s="1">
        <v>0.0</v>
      </c>
      <c r="E17" s="1">
        <v>0.0</v>
      </c>
      <c r="F17" s="1">
        <v>4.0</v>
      </c>
      <c r="G17" s="1">
        <v>1.0</v>
      </c>
      <c r="H17" s="1">
        <v>1.0</v>
      </c>
      <c r="I17" s="2" t="str">
        <f t="shared" si="1"/>
        <v>GPT-OSS</v>
      </c>
    </row>
    <row r="18">
      <c r="A18" s="1" t="s">
        <v>19</v>
      </c>
      <c r="B18" s="1" t="s">
        <v>17</v>
      </c>
      <c r="C18" s="1">
        <v>4.0</v>
      </c>
      <c r="D18" s="1">
        <v>4.0</v>
      </c>
      <c r="E18" s="1">
        <v>1.0</v>
      </c>
      <c r="F18" s="1">
        <v>4.0</v>
      </c>
      <c r="G18" s="1">
        <v>1.0</v>
      </c>
      <c r="H18" s="1">
        <v>0.0</v>
      </c>
      <c r="I18" s="2" t="str">
        <f t="shared" si="1"/>
        <v>LLaMA</v>
      </c>
    </row>
    <row r="19">
      <c r="A19" s="1" t="s">
        <v>19</v>
      </c>
      <c r="B19" s="1" t="s">
        <v>18</v>
      </c>
      <c r="C19" s="1">
        <v>4.0</v>
      </c>
      <c r="D19" s="1">
        <v>4.0</v>
      </c>
      <c r="E19" s="1">
        <v>1.0</v>
      </c>
      <c r="F19" s="1">
        <v>4.0</v>
      </c>
      <c r="G19" s="1">
        <v>1.0</v>
      </c>
      <c r="H19" s="1">
        <v>0.0</v>
      </c>
      <c r="I19" s="2" t="str">
        <f t="shared" si="1"/>
        <v>Qwen3</v>
      </c>
    </row>
    <row r="20">
      <c r="A20" s="1" t="s">
        <v>20</v>
      </c>
      <c r="B20" s="1" t="s">
        <v>10</v>
      </c>
      <c r="C20" s="1">
        <v>5.0</v>
      </c>
      <c r="D20" s="1">
        <v>5.0</v>
      </c>
      <c r="E20" s="1">
        <v>1.0</v>
      </c>
      <c r="F20" s="1">
        <v>5.0</v>
      </c>
      <c r="G20" s="1">
        <v>1.0</v>
      </c>
      <c r="H20" s="1">
        <v>0.0</v>
      </c>
      <c r="I20" s="2" t="str">
        <f t="shared" si="1"/>
        <v>ASI1</v>
      </c>
    </row>
    <row r="21">
      <c r="A21" s="1" t="s">
        <v>20</v>
      </c>
      <c r="B21" s="1" t="s">
        <v>11</v>
      </c>
      <c r="C21" s="1">
        <v>5.0</v>
      </c>
      <c r="D21" s="1">
        <v>5.0</v>
      </c>
      <c r="E21" s="1">
        <v>1.0</v>
      </c>
      <c r="F21" s="1">
        <v>5.0</v>
      </c>
      <c r="G21" s="1">
        <v>1.0</v>
      </c>
      <c r="H21" s="1">
        <v>0.0</v>
      </c>
      <c r="I21" s="2" t="str">
        <f t="shared" si="1"/>
        <v>Haiku</v>
      </c>
    </row>
    <row r="22">
      <c r="A22" s="1" t="s">
        <v>20</v>
      </c>
      <c r="B22" s="1" t="s">
        <v>12</v>
      </c>
      <c r="C22" s="1">
        <v>5.0</v>
      </c>
      <c r="D22" s="1">
        <v>5.0</v>
      </c>
      <c r="E22" s="1">
        <v>1.0</v>
      </c>
      <c r="F22" s="1">
        <v>5.0</v>
      </c>
      <c r="G22" s="1">
        <v>1.0</v>
      </c>
      <c r="H22" s="1">
        <v>0.0</v>
      </c>
      <c r="I22" s="2" t="str">
        <f t="shared" si="1"/>
        <v>DSR1</v>
      </c>
    </row>
    <row r="23">
      <c r="A23" s="1" t="s">
        <v>20</v>
      </c>
      <c r="B23" s="1" t="s">
        <v>13</v>
      </c>
      <c r="C23" s="1">
        <v>5.0</v>
      </c>
      <c r="D23" s="1">
        <v>5.0</v>
      </c>
      <c r="E23" s="1">
        <v>1.0</v>
      </c>
      <c r="F23" s="1">
        <v>5.0</v>
      </c>
      <c r="G23" s="1">
        <v>1.0</v>
      </c>
      <c r="H23" s="1">
        <v>0.0</v>
      </c>
      <c r="I23" s="2" t="str">
        <f t="shared" si="1"/>
        <v>Gemini</v>
      </c>
    </row>
    <row r="24">
      <c r="A24" s="1" t="s">
        <v>20</v>
      </c>
      <c r="B24" s="1" t="s">
        <v>14</v>
      </c>
      <c r="C24" s="1">
        <v>5.0</v>
      </c>
      <c r="D24" s="1">
        <v>5.0</v>
      </c>
      <c r="E24" s="1">
        <v>1.0</v>
      </c>
      <c r="F24" s="1">
        <v>5.0</v>
      </c>
      <c r="G24" s="1">
        <v>1.0</v>
      </c>
      <c r="H24" s="1">
        <v>0.0</v>
      </c>
      <c r="I24" s="2" t="str">
        <f t="shared" si="1"/>
        <v>Gemma-4</v>
      </c>
    </row>
    <row r="25">
      <c r="A25" s="1" t="s">
        <v>20</v>
      </c>
      <c r="B25" s="1" t="s">
        <v>15</v>
      </c>
      <c r="C25" s="1">
        <v>5.0</v>
      </c>
      <c r="D25" s="1">
        <v>5.0</v>
      </c>
      <c r="E25" s="1">
        <v>1.0</v>
      </c>
      <c r="F25" s="1">
        <v>5.0</v>
      </c>
      <c r="G25" s="1">
        <v>1.0</v>
      </c>
      <c r="H25" s="1">
        <v>0.0</v>
      </c>
      <c r="I25" s="2" t="str">
        <f t="shared" si="1"/>
        <v>GPT-4o</v>
      </c>
    </row>
    <row r="26">
      <c r="A26" s="1" t="s">
        <v>20</v>
      </c>
      <c r="B26" s="1" t="s">
        <v>16</v>
      </c>
      <c r="C26" s="1">
        <v>5.0</v>
      </c>
      <c r="D26" s="1">
        <v>1.0</v>
      </c>
      <c r="E26" s="1">
        <v>0.2</v>
      </c>
      <c r="F26" s="1">
        <v>5.0</v>
      </c>
      <c r="G26" s="1">
        <v>1.0</v>
      </c>
      <c r="H26" s="1">
        <v>0.8</v>
      </c>
      <c r="I26" s="2" t="str">
        <f t="shared" si="1"/>
        <v>GPT-OSS</v>
      </c>
    </row>
    <row r="27">
      <c r="A27" s="1" t="s">
        <v>20</v>
      </c>
      <c r="B27" s="1" t="s">
        <v>17</v>
      </c>
      <c r="C27" s="1">
        <v>5.0</v>
      </c>
      <c r="D27" s="1">
        <v>5.0</v>
      </c>
      <c r="E27" s="1">
        <v>1.0</v>
      </c>
      <c r="F27" s="1">
        <v>5.0</v>
      </c>
      <c r="G27" s="1">
        <v>1.0</v>
      </c>
      <c r="H27" s="1">
        <v>0.0</v>
      </c>
      <c r="I27" s="2" t="str">
        <f t="shared" si="1"/>
        <v>LLaMA</v>
      </c>
    </row>
    <row r="28">
      <c r="A28" s="1" t="s">
        <v>20</v>
      </c>
      <c r="B28" s="1" t="s">
        <v>18</v>
      </c>
      <c r="C28" s="1">
        <v>5.0</v>
      </c>
      <c r="D28" s="1">
        <v>5.0</v>
      </c>
      <c r="E28" s="1">
        <v>1.0</v>
      </c>
      <c r="F28" s="1">
        <v>5.0</v>
      </c>
      <c r="G28" s="1">
        <v>1.0</v>
      </c>
      <c r="H28" s="1">
        <v>0.0</v>
      </c>
      <c r="I28" s="2" t="str">
        <f t="shared" si="1"/>
        <v>Qwen3</v>
      </c>
    </row>
    <row r="29">
      <c r="A29" s="1" t="s">
        <v>21</v>
      </c>
      <c r="B29" s="1" t="s">
        <v>10</v>
      </c>
      <c r="C29" s="1">
        <v>5.0</v>
      </c>
      <c r="D29" s="1">
        <v>4.0</v>
      </c>
      <c r="E29" s="1">
        <v>0.8</v>
      </c>
      <c r="F29" s="1">
        <v>0.0</v>
      </c>
      <c r="G29" s="1">
        <v>0.0</v>
      </c>
      <c r="H29" s="1">
        <v>-0.8</v>
      </c>
      <c r="I29" s="2" t="str">
        <f t="shared" si="1"/>
        <v>ASI1</v>
      </c>
    </row>
    <row r="30">
      <c r="A30" s="1" t="s">
        <v>21</v>
      </c>
      <c r="B30" s="1" t="s">
        <v>11</v>
      </c>
      <c r="C30" s="1">
        <v>6.0</v>
      </c>
      <c r="D30" s="1">
        <v>5.0</v>
      </c>
      <c r="E30" s="1">
        <v>0.8333</v>
      </c>
      <c r="F30" s="1">
        <v>6.0</v>
      </c>
      <c r="G30" s="1">
        <v>1.0</v>
      </c>
      <c r="H30" s="1">
        <v>0.1667</v>
      </c>
      <c r="I30" s="2" t="str">
        <f t="shared" si="1"/>
        <v>Haiku</v>
      </c>
    </row>
    <row r="31">
      <c r="A31" s="1" t="s">
        <v>21</v>
      </c>
      <c r="B31" s="1" t="s">
        <v>12</v>
      </c>
      <c r="C31" s="1">
        <v>5.0</v>
      </c>
      <c r="D31" s="1">
        <v>4.0</v>
      </c>
      <c r="E31" s="1">
        <v>0.8</v>
      </c>
      <c r="F31" s="1">
        <v>6.0</v>
      </c>
      <c r="G31" s="1">
        <v>1.0</v>
      </c>
      <c r="H31" s="1">
        <v>0.2</v>
      </c>
      <c r="I31" s="2" t="str">
        <f t="shared" si="1"/>
        <v>DSR1</v>
      </c>
    </row>
    <row r="32">
      <c r="A32" s="1" t="s">
        <v>21</v>
      </c>
      <c r="B32" s="1" t="s">
        <v>13</v>
      </c>
      <c r="C32" s="1">
        <v>5.0</v>
      </c>
      <c r="D32" s="1">
        <v>4.0</v>
      </c>
      <c r="E32" s="1">
        <v>0.8</v>
      </c>
      <c r="F32" s="1">
        <v>6.0</v>
      </c>
      <c r="G32" s="1">
        <v>1.0</v>
      </c>
      <c r="H32" s="1">
        <v>0.2</v>
      </c>
      <c r="I32" s="2" t="str">
        <f t="shared" si="1"/>
        <v>Gemini</v>
      </c>
    </row>
    <row r="33">
      <c r="A33" s="1" t="s">
        <v>21</v>
      </c>
      <c r="B33" s="1" t="s">
        <v>14</v>
      </c>
      <c r="C33" s="1">
        <v>5.0</v>
      </c>
      <c r="D33" s="1">
        <v>4.0</v>
      </c>
      <c r="E33" s="1">
        <v>0.8</v>
      </c>
      <c r="F33" s="1">
        <v>6.0</v>
      </c>
      <c r="G33" s="1">
        <v>1.0</v>
      </c>
      <c r="H33" s="1">
        <v>0.2</v>
      </c>
      <c r="I33" s="2" t="str">
        <f t="shared" si="1"/>
        <v>Gemma-4</v>
      </c>
    </row>
    <row r="34">
      <c r="A34" s="1" t="s">
        <v>21</v>
      </c>
      <c r="B34" s="1" t="s">
        <v>15</v>
      </c>
      <c r="C34" s="1">
        <v>5.0</v>
      </c>
      <c r="D34" s="1">
        <v>4.0</v>
      </c>
      <c r="E34" s="1">
        <v>0.8</v>
      </c>
      <c r="F34" s="1">
        <v>5.0</v>
      </c>
      <c r="G34" s="1">
        <v>0.8333</v>
      </c>
      <c r="H34" s="1">
        <v>0.0333</v>
      </c>
      <c r="I34" s="2" t="str">
        <f t="shared" si="1"/>
        <v>GPT-4o</v>
      </c>
    </row>
    <row r="35">
      <c r="A35" s="1" t="s">
        <v>21</v>
      </c>
      <c r="B35" s="1" t="s">
        <v>16</v>
      </c>
      <c r="C35" s="1">
        <v>5.0</v>
      </c>
      <c r="D35" s="1">
        <v>4.0</v>
      </c>
      <c r="E35" s="1">
        <v>0.8</v>
      </c>
      <c r="F35" s="1">
        <v>1.0</v>
      </c>
      <c r="G35" s="1">
        <v>0.1667</v>
      </c>
      <c r="H35" s="1">
        <v>-0.6333</v>
      </c>
      <c r="I35" s="2" t="str">
        <f t="shared" si="1"/>
        <v>GPT-OSS</v>
      </c>
    </row>
    <row r="36">
      <c r="A36" s="1" t="s">
        <v>21</v>
      </c>
      <c r="B36" s="1" t="s">
        <v>17</v>
      </c>
      <c r="C36" s="1">
        <v>6.0</v>
      </c>
      <c r="D36" s="1">
        <v>6.0</v>
      </c>
      <c r="E36" s="1">
        <v>1.0</v>
      </c>
      <c r="F36" s="1">
        <v>6.0</v>
      </c>
      <c r="G36" s="1">
        <v>1.0</v>
      </c>
      <c r="H36" s="1">
        <v>0.0</v>
      </c>
      <c r="I36" s="2" t="str">
        <f t="shared" si="1"/>
        <v>LLaMA</v>
      </c>
    </row>
    <row r="37">
      <c r="A37" s="1" t="s">
        <v>21</v>
      </c>
      <c r="B37" s="1" t="s">
        <v>18</v>
      </c>
      <c r="C37" s="1">
        <v>5.0</v>
      </c>
      <c r="D37" s="1">
        <v>4.0</v>
      </c>
      <c r="E37" s="1">
        <v>0.8</v>
      </c>
      <c r="F37" s="1">
        <v>6.0</v>
      </c>
      <c r="G37" s="1">
        <v>1.0</v>
      </c>
      <c r="H37" s="1">
        <v>0.2</v>
      </c>
      <c r="I37" s="2" t="str">
        <f t="shared" si="1"/>
        <v>Qwen3</v>
      </c>
    </row>
    <row r="38">
      <c r="A38" s="1" t="s">
        <v>22</v>
      </c>
      <c r="B38" s="1" t="s">
        <v>10</v>
      </c>
      <c r="C38" s="1">
        <v>4.0</v>
      </c>
      <c r="D38" s="1">
        <v>0.0</v>
      </c>
      <c r="E38" s="1">
        <v>0.0</v>
      </c>
      <c r="F38" s="1">
        <v>3.0</v>
      </c>
      <c r="G38" s="1">
        <v>0.75</v>
      </c>
      <c r="H38" s="1">
        <v>0.75</v>
      </c>
      <c r="I38" s="2" t="str">
        <f t="shared" si="1"/>
        <v>ASI1</v>
      </c>
    </row>
    <row r="39">
      <c r="A39" s="1" t="s">
        <v>22</v>
      </c>
      <c r="B39" s="1" t="s">
        <v>11</v>
      </c>
      <c r="C39" s="1">
        <v>4.0</v>
      </c>
      <c r="D39" s="1">
        <v>3.0</v>
      </c>
      <c r="E39" s="1">
        <v>0.75</v>
      </c>
      <c r="F39" s="1">
        <v>3.0</v>
      </c>
      <c r="G39" s="1">
        <v>0.75</v>
      </c>
      <c r="H39" s="1">
        <v>0.0</v>
      </c>
      <c r="I39" s="2" t="str">
        <f t="shared" si="1"/>
        <v>Haiku</v>
      </c>
    </row>
    <row r="40">
      <c r="A40" s="1" t="s">
        <v>22</v>
      </c>
      <c r="B40" s="1" t="s">
        <v>12</v>
      </c>
      <c r="C40" s="1">
        <v>4.0</v>
      </c>
      <c r="D40" s="1">
        <v>0.0</v>
      </c>
      <c r="E40" s="1">
        <v>0.0</v>
      </c>
      <c r="F40" s="1">
        <v>3.0</v>
      </c>
      <c r="G40" s="1">
        <v>0.75</v>
      </c>
      <c r="H40" s="1">
        <v>0.75</v>
      </c>
      <c r="I40" s="2" t="str">
        <f t="shared" si="1"/>
        <v>DSR1</v>
      </c>
    </row>
    <row r="41">
      <c r="A41" s="1" t="s">
        <v>22</v>
      </c>
      <c r="B41" s="1" t="s">
        <v>13</v>
      </c>
      <c r="C41" s="1">
        <v>4.0</v>
      </c>
      <c r="D41" s="1">
        <v>3.0</v>
      </c>
      <c r="E41" s="1">
        <v>0.75</v>
      </c>
      <c r="F41" s="1">
        <v>3.0</v>
      </c>
      <c r="G41" s="1">
        <v>0.75</v>
      </c>
      <c r="H41" s="1">
        <v>0.0</v>
      </c>
      <c r="I41" s="2" t="str">
        <f t="shared" si="1"/>
        <v>Gemini</v>
      </c>
    </row>
    <row r="42">
      <c r="A42" s="1" t="s">
        <v>22</v>
      </c>
      <c r="B42" s="1" t="s">
        <v>14</v>
      </c>
      <c r="C42" s="1">
        <v>4.0</v>
      </c>
      <c r="D42" s="1">
        <v>3.0</v>
      </c>
      <c r="E42" s="1">
        <v>0.75</v>
      </c>
      <c r="F42" s="1">
        <v>3.0</v>
      </c>
      <c r="G42" s="1">
        <v>0.75</v>
      </c>
      <c r="H42" s="1">
        <v>0.0</v>
      </c>
      <c r="I42" s="2" t="str">
        <f t="shared" si="1"/>
        <v>Gemma-4</v>
      </c>
    </row>
    <row r="43">
      <c r="A43" s="1" t="s">
        <v>22</v>
      </c>
      <c r="B43" s="1" t="s">
        <v>15</v>
      </c>
      <c r="C43" s="1">
        <v>4.0</v>
      </c>
      <c r="D43" s="1">
        <v>3.0</v>
      </c>
      <c r="E43" s="1">
        <v>0.75</v>
      </c>
      <c r="F43" s="1">
        <v>3.0</v>
      </c>
      <c r="G43" s="1">
        <v>0.75</v>
      </c>
      <c r="H43" s="1">
        <v>0.0</v>
      </c>
      <c r="I43" s="2" t="str">
        <f t="shared" si="1"/>
        <v>GPT-4o</v>
      </c>
    </row>
    <row r="44">
      <c r="A44" s="1" t="s">
        <v>22</v>
      </c>
      <c r="B44" s="1" t="s">
        <v>16</v>
      </c>
      <c r="C44" s="1">
        <v>4.0</v>
      </c>
      <c r="D44" s="1">
        <v>0.0</v>
      </c>
      <c r="E44" s="1">
        <v>0.0</v>
      </c>
      <c r="F44" s="1">
        <v>3.0</v>
      </c>
      <c r="G44" s="1">
        <v>0.75</v>
      </c>
      <c r="H44" s="1">
        <v>0.75</v>
      </c>
      <c r="I44" s="2" t="str">
        <f t="shared" si="1"/>
        <v>GPT-OSS</v>
      </c>
    </row>
    <row r="45">
      <c r="A45" s="1" t="s">
        <v>22</v>
      </c>
      <c r="B45" s="1" t="s">
        <v>17</v>
      </c>
      <c r="C45" s="1">
        <v>4.0</v>
      </c>
      <c r="D45" s="1">
        <v>0.0</v>
      </c>
      <c r="E45" s="1">
        <v>0.0</v>
      </c>
      <c r="F45" s="1">
        <v>2.0</v>
      </c>
      <c r="G45" s="1">
        <v>0.5</v>
      </c>
      <c r="H45" s="1">
        <v>0.5</v>
      </c>
      <c r="I45" s="2" t="str">
        <f t="shared" si="1"/>
        <v>LLaMA</v>
      </c>
    </row>
    <row r="46">
      <c r="A46" s="1" t="s">
        <v>22</v>
      </c>
      <c r="B46" s="1" t="s">
        <v>18</v>
      </c>
      <c r="C46" s="1">
        <v>4.0</v>
      </c>
      <c r="D46" s="1">
        <v>3.0</v>
      </c>
      <c r="E46" s="1">
        <v>0.75</v>
      </c>
      <c r="F46" s="1">
        <v>3.0</v>
      </c>
      <c r="G46" s="1">
        <v>0.75</v>
      </c>
      <c r="H46" s="1">
        <v>0.0</v>
      </c>
      <c r="I46" s="2" t="str">
        <f t="shared" si="1"/>
        <v>Qwen3</v>
      </c>
    </row>
    <row r="47">
      <c r="A47" s="1" t="s">
        <v>23</v>
      </c>
      <c r="B47" s="1" t="s">
        <v>10</v>
      </c>
      <c r="C47" s="1">
        <v>8.0</v>
      </c>
      <c r="D47" s="1">
        <v>8.0</v>
      </c>
      <c r="E47" s="1">
        <v>1.0</v>
      </c>
      <c r="F47" s="1">
        <v>7.0</v>
      </c>
      <c r="G47" s="1">
        <v>0.875</v>
      </c>
      <c r="H47" s="1">
        <v>-0.125</v>
      </c>
      <c r="I47" s="2" t="str">
        <f t="shared" si="1"/>
        <v>ASI1</v>
      </c>
    </row>
    <row r="48">
      <c r="A48" s="1" t="s">
        <v>23</v>
      </c>
      <c r="B48" s="1" t="s">
        <v>11</v>
      </c>
      <c r="C48" s="1">
        <v>8.0</v>
      </c>
      <c r="D48" s="1">
        <v>8.0</v>
      </c>
      <c r="E48" s="1">
        <v>1.0</v>
      </c>
      <c r="F48" s="1">
        <v>8.0</v>
      </c>
      <c r="G48" s="1">
        <v>1.0</v>
      </c>
      <c r="H48" s="1">
        <v>0.0</v>
      </c>
      <c r="I48" s="2" t="str">
        <f t="shared" si="1"/>
        <v>Haiku</v>
      </c>
    </row>
    <row r="49">
      <c r="A49" s="1" t="s">
        <v>23</v>
      </c>
      <c r="B49" s="1" t="s">
        <v>12</v>
      </c>
      <c r="C49" s="1">
        <v>8.0</v>
      </c>
      <c r="D49" s="1">
        <v>8.0</v>
      </c>
      <c r="E49" s="1">
        <v>1.0</v>
      </c>
      <c r="F49" s="1">
        <v>8.0</v>
      </c>
      <c r="G49" s="1">
        <v>1.0</v>
      </c>
      <c r="H49" s="1">
        <v>0.0</v>
      </c>
      <c r="I49" s="2" t="str">
        <f t="shared" si="1"/>
        <v>DSR1</v>
      </c>
    </row>
    <row r="50">
      <c r="A50" s="1" t="s">
        <v>23</v>
      </c>
      <c r="B50" s="1" t="s">
        <v>13</v>
      </c>
      <c r="C50" s="1">
        <v>8.0</v>
      </c>
      <c r="D50" s="1">
        <v>8.0</v>
      </c>
      <c r="E50" s="1">
        <v>1.0</v>
      </c>
      <c r="F50" s="1">
        <v>7.0</v>
      </c>
      <c r="G50" s="1">
        <v>0.875</v>
      </c>
      <c r="H50" s="1">
        <v>-0.125</v>
      </c>
      <c r="I50" s="2" t="str">
        <f t="shared" si="1"/>
        <v>Gemini</v>
      </c>
    </row>
    <row r="51">
      <c r="A51" s="1" t="s">
        <v>23</v>
      </c>
      <c r="B51" s="1" t="s">
        <v>14</v>
      </c>
      <c r="C51" s="1">
        <v>8.0</v>
      </c>
      <c r="D51" s="1">
        <v>8.0</v>
      </c>
      <c r="E51" s="1">
        <v>1.0</v>
      </c>
      <c r="F51" s="1">
        <v>7.0</v>
      </c>
      <c r="G51" s="1">
        <v>0.875</v>
      </c>
      <c r="H51" s="1">
        <v>-0.125</v>
      </c>
      <c r="I51" s="2" t="str">
        <f t="shared" si="1"/>
        <v>Gemma-4</v>
      </c>
    </row>
    <row r="52">
      <c r="A52" s="1" t="s">
        <v>23</v>
      </c>
      <c r="B52" s="1" t="s">
        <v>15</v>
      </c>
      <c r="C52" s="1">
        <v>8.0</v>
      </c>
      <c r="D52" s="1">
        <v>7.0</v>
      </c>
      <c r="E52" s="1">
        <v>0.875</v>
      </c>
      <c r="F52" s="1">
        <v>7.0</v>
      </c>
      <c r="G52" s="1">
        <v>0.875</v>
      </c>
      <c r="H52" s="1">
        <v>0.0</v>
      </c>
      <c r="I52" s="2" t="str">
        <f t="shared" si="1"/>
        <v>GPT-4o</v>
      </c>
    </row>
    <row r="53">
      <c r="A53" s="1" t="s">
        <v>23</v>
      </c>
      <c r="B53" s="1" t="s">
        <v>16</v>
      </c>
      <c r="C53" s="1">
        <v>8.0</v>
      </c>
      <c r="D53" s="1">
        <v>5.0</v>
      </c>
      <c r="E53" s="1">
        <v>0.625</v>
      </c>
      <c r="F53" s="1">
        <v>8.0</v>
      </c>
      <c r="G53" s="1">
        <v>1.0</v>
      </c>
      <c r="H53" s="1">
        <v>0.375</v>
      </c>
      <c r="I53" s="2" t="str">
        <f t="shared" si="1"/>
        <v>GPT-OSS</v>
      </c>
    </row>
    <row r="54">
      <c r="A54" s="1" t="s">
        <v>23</v>
      </c>
      <c r="B54" s="1" t="s">
        <v>17</v>
      </c>
      <c r="C54" s="1">
        <v>8.0</v>
      </c>
      <c r="D54" s="1">
        <v>7.0</v>
      </c>
      <c r="E54" s="1">
        <v>0.875</v>
      </c>
      <c r="F54" s="1">
        <v>7.0</v>
      </c>
      <c r="G54" s="1">
        <v>0.875</v>
      </c>
      <c r="H54" s="1">
        <v>0.0</v>
      </c>
      <c r="I54" s="2" t="str">
        <f t="shared" si="1"/>
        <v>LLaMA</v>
      </c>
    </row>
    <row r="55">
      <c r="A55" s="1" t="s">
        <v>23</v>
      </c>
      <c r="B55" s="1" t="s">
        <v>18</v>
      </c>
      <c r="C55" s="1">
        <v>8.0</v>
      </c>
      <c r="D55" s="1">
        <v>7.0</v>
      </c>
      <c r="E55" s="1">
        <v>0.875</v>
      </c>
      <c r="F55" s="1">
        <v>7.0</v>
      </c>
      <c r="G55" s="1">
        <v>0.875</v>
      </c>
      <c r="H55" s="1">
        <v>0.0</v>
      </c>
      <c r="I55" s="2" t="str">
        <f t="shared" si="1"/>
        <v>Qwen3</v>
      </c>
    </row>
    <row r="56">
      <c r="A56" s="1" t="s">
        <v>24</v>
      </c>
      <c r="B56" s="1" t="s">
        <v>10</v>
      </c>
      <c r="C56" s="1">
        <v>7.0</v>
      </c>
      <c r="D56" s="1">
        <v>7.0</v>
      </c>
      <c r="E56" s="1">
        <v>1.0</v>
      </c>
      <c r="F56" s="1">
        <v>6.0</v>
      </c>
      <c r="G56" s="1">
        <v>0.8571</v>
      </c>
      <c r="H56" s="1">
        <v>-0.1429</v>
      </c>
      <c r="I56" s="2" t="str">
        <f t="shared" si="1"/>
        <v>ASI1</v>
      </c>
    </row>
    <row r="57">
      <c r="A57" s="1" t="s">
        <v>24</v>
      </c>
      <c r="B57" s="1" t="s">
        <v>11</v>
      </c>
      <c r="C57" s="1">
        <v>7.0</v>
      </c>
      <c r="D57" s="1">
        <v>7.0</v>
      </c>
      <c r="E57" s="1">
        <v>1.0</v>
      </c>
      <c r="F57" s="1">
        <v>7.0</v>
      </c>
      <c r="G57" s="1">
        <v>1.0</v>
      </c>
      <c r="H57" s="1">
        <v>0.0</v>
      </c>
      <c r="I57" s="2" t="str">
        <f t="shared" si="1"/>
        <v>Haiku</v>
      </c>
    </row>
    <row r="58">
      <c r="A58" s="1" t="s">
        <v>24</v>
      </c>
      <c r="B58" s="1" t="s">
        <v>12</v>
      </c>
      <c r="C58" s="1">
        <v>7.0</v>
      </c>
      <c r="D58" s="1">
        <v>7.0</v>
      </c>
      <c r="E58" s="1">
        <v>1.0</v>
      </c>
      <c r="H58" s="1">
        <v>-1.0</v>
      </c>
      <c r="I58" s="2" t="str">
        <f t="shared" si="1"/>
        <v>DSR1</v>
      </c>
    </row>
    <row r="59">
      <c r="A59" s="1" t="s">
        <v>24</v>
      </c>
      <c r="B59" s="1" t="s">
        <v>13</v>
      </c>
      <c r="C59" s="1">
        <v>7.0</v>
      </c>
      <c r="D59" s="1">
        <v>3.0</v>
      </c>
      <c r="E59" s="1">
        <v>0.4286</v>
      </c>
      <c r="F59" s="1">
        <v>4.0</v>
      </c>
      <c r="G59" s="1">
        <v>0.5714</v>
      </c>
      <c r="H59" s="1">
        <v>0.1428</v>
      </c>
      <c r="I59" s="2" t="str">
        <f t="shared" si="1"/>
        <v>Gemini</v>
      </c>
    </row>
    <row r="60">
      <c r="A60" s="1" t="s">
        <v>24</v>
      </c>
      <c r="B60" s="1" t="s">
        <v>14</v>
      </c>
      <c r="C60" s="1">
        <v>7.0</v>
      </c>
      <c r="D60" s="1">
        <v>7.0</v>
      </c>
      <c r="E60" s="1">
        <v>1.0</v>
      </c>
      <c r="F60" s="1">
        <v>7.0</v>
      </c>
      <c r="G60" s="1">
        <v>1.0</v>
      </c>
      <c r="H60" s="1">
        <v>0.0</v>
      </c>
      <c r="I60" s="2" t="str">
        <f t="shared" si="1"/>
        <v>Gemma-4</v>
      </c>
    </row>
    <row r="61">
      <c r="A61" s="1" t="s">
        <v>24</v>
      </c>
      <c r="B61" s="1" t="s">
        <v>15</v>
      </c>
      <c r="C61" s="1">
        <v>7.0</v>
      </c>
      <c r="D61" s="1">
        <v>7.0</v>
      </c>
      <c r="E61" s="1">
        <v>1.0</v>
      </c>
      <c r="F61" s="1">
        <v>4.0</v>
      </c>
      <c r="G61" s="1">
        <v>0.5714</v>
      </c>
      <c r="H61" s="1">
        <v>-0.4286</v>
      </c>
      <c r="I61" s="2" t="str">
        <f t="shared" si="1"/>
        <v>GPT-4o</v>
      </c>
    </row>
    <row r="62">
      <c r="A62" s="1" t="s">
        <v>24</v>
      </c>
      <c r="B62" s="1" t="s">
        <v>16</v>
      </c>
      <c r="C62" s="1">
        <v>7.0</v>
      </c>
      <c r="D62" s="1">
        <v>7.0</v>
      </c>
      <c r="E62" s="1">
        <v>1.0</v>
      </c>
      <c r="F62" s="1">
        <v>4.0</v>
      </c>
      <c r="G62" s="1">
        <v>0.5714</v>
      </c>
      <c r="H62" s="1">
        <v>-0.4286</v>
      </c>
      <c r="I62" s="2" t="str">
        <f t="shared" si="1"/>
        <v>GPT-OSS</v>
      </c>
    </row>
    <row r="63">
      <c r="A63" s="1" t="s">
        <v>24</v>
      </c>
      <c r="B63" s="1" t="s">
        <v>17</v>
      </c>
      <c r="C63" s="1">
        <v>7.0</v>
      </c>
      <c r="D63" s="1">
        <v>3.0</v>
      </c>
      <c r="E63" s="1">
        <v>0.4286</v>
      </c>
      <c r="F63" s="1">
        <v>0.0</v>
      </c>
      <c r="G63" s="1">
        <v>0.0</v>
      </c>
      <c r="H63" s="1">
        <v>-0.4286</v>
      </c>
      <c r="I63" s="2" t="str">
        <f t="shared" si="1"/>
        <v>LLaMA</v>
      </c>
    </row>
    <row r="64">
      <c r="A64" s="1" t="s">
        <v>24</v>
      </c>
      <c r="B64" s="1" t="s">
        <v>18</v>
      </c>
      <c r="C64" s="1">
        <v>7.0</v>
      </c>
      <c r="D64" s="1">
        <v>3.0</v>
      </c>
      <c r="E64" s="1">
        <v>0.4286</v>
      </c>
      <c r="F64" s="1">
        <v>5.0</v>
      </c>
      <c r="G64" s="1">
        <v>0.7143</v>
      </c>
      <c r="H64" s="1">
        <v>0.2857</v>
      </c>
      <c r="I64" s="2" t="str">
        <f t="shared" si="1"/>
        <v>Qwen3</v>
      </c>
    </row>
    <row r="65">
      <c r="A65" s="1" t="s">
        <v>25</v>
      </c>
      <c r="B65" s="1" t="s">
        <v>10</v>
      </c>
      <c r="C65" s="1">
        <v>2.0</v>
      </c>
      <c r="D65" s="1">
        <v>2.0</v>
      </c>
      <c r="E65" s="1">
        <v>1.0</v>
      </c>
      <c r="F65" s="1">
        <v>0.0</v>
      </c>
      <c r="G65" s="1">
        <v>0.0</v>
      </c>
      <c r="H65" s="1">
        <v>-1.0</v>
      </c>
      <c r="I65" s="2" t="str">
        <f t="shared" si="1"/>
        <v>ASI1</v>
      </c>
    </row>
    <row r="66">
      <c r="A66" s="1" t="s">
        <v>25</v>
      </c>
      <c r="B66" s="1" t="s">
        <v>11</v>
      </c>
      <c r="C66" s="1">
        <v>2.0</v>
      </c>
      <c r="D66" s="1">
        <v>2.0</v>
      </c>
      <c r="E66" s="1">
        <v>1.0</v>
      </c>
      <c r="F66" s="1">
        <v>1.0</v>
      </c>
      <c r="G66" s="1">
        <v>0.5</v>
      </c>
      <c r="H66" s="1">
        <v>-0.5</v>
      </c>
      <c r="I66" s="2" t="str">
        <f t="shared" si="1"/>
        <v>Haiku</v>
      </c>
    </row>
    <row r="67">
      <c r="A67" s="1" t="s">
        <v>25</v>
      </c>
      <c r="B67" s="1" t="s">
        <v>12</v>
      </c>
      <c r="C67" s="1">
        <v>2.0</v>
      </c>
      <c r="D67" s="1">
        <v>2.0</v>
      </c>
      <c r="E67" s="1">
        <v>1.0</v>
      </c>
      <c r="F67" s="1">
        <v>2.0</v>
      </c>
      <c r="G67" s="1">
        <v>1.0</v>
      </c>
      <c r="H67" s="1">
        <v>0.0</v>
      </c>
      <c r="I67" s="2" t="str">
        <f t="shared" si="1"/>
        <v>DSR1</v>
      </c>
    </row>
    <row r="68">
      <c r="A68" s="1" t="s">
        <v>25</v>
      </c>
      <c r="B68" s="1" t="s">
        <v>13</v>
      </c>
      <c r="C68" s="1">
        <v>2.0</v>
      </c>
      <c r="D68" s="1">
        <v>2.0</v>
      </c>
      <c r="E68" s="1">
        <v>1.0</v>
      </c>
      <c r="F68" s="1">
        <v>1.0</v>
      </c>
      <c r="G68" s="1">
        <v>0.5</v>
      </c>
      <c r="H68" s="1">
        <v>-0.5</v>
      </c>
      <c r="I68" s="2" t="str">
        <f t="shared" si="1"/>
        <v>Gemini</v>
      </c>
    </row>
    <row r="69">
      <c r="A69" s="1" t="s">
        <v>25</v>
      </c>
      <c r="B69" s="1" t="s">
        <v>14</v>
      </c>
      <c r="C69" s="1">
        <v>2.0</v>
      </c>
      <c r="D69" s="1">
        <v>2.0</v>
      </c>
      <c r="E69" s="1">
        <v>1.0</v>
      </c>
      <c r="F69" s="1">
        <v>2.0</v>
      </c>
      <c r="G69" s="1">
        <v>1.0</v>
      </c>
      <c r="H69" s="1">
        <v>0.0</v>
      </c>
      <c r="I69" s="2" t="str">
        <f t="shared" si="1"/>
        <v>Gemma-4</v>
      </c>
    </row>
    <row r="70">
      <c r="A70" s="1" t="s">
        <v>25</v>
      </c>
      <c r="B70" s="1" t="s">
        <v>15</v>
      </c>
      <c r="C70" s="1">
        <v>2.0</v>
      </c>
      <c r="D70" s="1">
        <v>2.0</v>
      </c>
      <c r="E70" s="1">
        <v>1.0</v>
      </c>
      <c r="F70" s="1">
        <v>2.0</v>
      </c>
      <c r="G70" s="1">
        <v>1.0</v>
      </c>
      <c r="H70" s="1">
        <v>0.0</v>
      </c>
      <c r="I70" s="2" t="str">
        <f t="shared" si="1"/>
        <v>GPT-4o</v>
      </c>
    </row>
    <row r="71">
      <c r="A71" s="1" t="s">
        <v>25</v>
      </c>
      <c r="B71" s="1" t="s">
        <v>16</v>
      </c>
      <c r="C71" s="1">
        <v>2.0</v>
      </c>
      <c r="D71" s="1">
        <v>0.0</v>
      </c>
      <c r="E71" s="1">
        <v>0.0</v>
      </c>
      <c r="F71" s="1">
        <v>2.0</v>
      </c>
      <c r="G71" s="1">
        <v>1.0</v>
      </c>
      <c r="H71" s="1">
        <v>1.0</v>
      </c>
      <c r="I71" s="2" t="str">
        <f t="shared" si="1"/>
        <v>GPT-OSS</v>
      </c>
    </row>
    <row r="72">
      <c r="A72" s="1" t="s">
        <v>25</v>
      </c>
      <c r="B72" s="1" t="s">
        <v>17</v>
      </c>
      <c r="C72" s="1">
        <v>2.0</v>
      </c>
      <c r="D72" s="1">
        <v>2.0</v>
      </c>
      <c r="E72" s="1">
        <v>1.0</v>
      </c>
      <c r="F72" s="1">
        <v>2.0</v>
      </c>
      <c r="G72" s="1">
        <v>1.0</v>
      </c>
      <c r="H72" s="1">
        <v>0.0</v>
      </c>
      <c r="I72" s="2" t="str">
        <f t="shared" si="1"/>
        <v>LLaMA</v>
      </c>
    </row>
    <row r="73">
      <c r="A73" s="1" t="s">
        <v>25</v>
      </c>
      <c r="B73" s="1" t="s">
        <v>18</v>
      </c>
      <c r="C73" s="1">
        <v>2.0</v>
      </c>
      <c r="D73" s="1">
        <v>0.0</v>
      </c>
      <c r="E73" s="1">
        <v>0.0</v>
      </c>
      <c r="F73" s="1">
        <v>2.0</v>
      </c>
      <c r="G73" s="1">
        <v>1.0</v>
      </c>
      <c r="H73" s="1">
        <v>1.0</v>
      </c>
      <c r="I73" s="2" t="str">
        <f t="shared" si="1"/>
        <v>Qwen3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4" width="20.75"/>
  </cols>
  <sheetData>
    <row r="1" ht="22.5" customHeight="1">
      <c r="B1" s="3" t="s">
        <v>26</v>
      </c>
    </row>
    <row r="2" ht="157.5" customHeight="1"/>
    <row r="3" ht="22.5" customHeight="1">
      <c r="B3" s="4" t="s">
        <v>27</v>
      </c>
      <c r="C3" s="4" t="s">
        <v>28</v>
      </c>
      <c r="D3" s="4" t="s">
        <v>29</v>
      </c>
    </row>
    <row r="4" ht="157.5" customHeight="1">
      <c r="B4" s="5"/>
      <c r="C4" s="5"/>
      <c r="D4" s="5"/>
    </row>
    <row r="5" ht="22.5" customHeight="1">
      <c r="B5" s="4" t="s">
        <v>30</v>
      </c>
      <c r="C5" s="4" t="s">
        <v>31</v>
      </c>
      <c r="D5" s="4" t="s">
        <v>32</v>
      </c>
    </row>
    <row r="9">
      <c r="B9" s="6"/>
      <c r="C9" s="7" t="s">
        <v>33</v>
      </c>
      <c r="D9" s="7" t="s">
        <v>34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  <c r="J9" s="8" t="s">
        <v>40</v>
      </c>
      <c r="K9" s="9"/>
    </row>
    <row r="10">
      <c r="B10" s="10" t="s">
        <v>41</v>
      </c>
      <c r="C10" s="11">
        <v>0.0</v>
      </c>
      <c r="D10" s="12">
        <v>1.0</v>
      </c>
      <c r="E10" s="13">
        <v>0.8</v>
      </c>
      <c r="F10" s="14">
        <v>-0.6333</v>
      </c>
      <c r="G10" s="15">
        <v>0.75</v>
      </c>
      <c r="H10" s="16">
        <v>0.375</v>
      </c>
      <c r="I10" s="17">
        <v>-0.4286</v>
      </c>
      <c r="J10" s="18">
        <v>1.0</v>
      </c>
      <c r="K10" s="9"/>
    </row>
    <row r="11">
      <c r="B11" s="10" t="s">
        <v>42</v>
      </c>
      <c r="C11" s="11">
        <v>0.0</v>
      </c>
      <c r="D11" s="11">
        <v>0.0</v>
      </c>
      <c r="E11" s="11">
        <v>0.0</v>
      </c>
      <c r="F11" s="19">
        <v>0.2</v>
      </c>
      <c r="G11" s="11">
        <v>0.0</v>
      </c>
      <c r="H11" s="11">
        <v>0.0</v>
      </c>
      <c r="I11" s="20">
        <v>0.2857</v>
      </c>
      <c r="J11" s="18">
        <v>1.0</v>
      </c>
      <c r="K11" s="9"/>
    </row>
    <row r="12">
      <c r="B12" s="10" t="s">
        <v>43</v>
      </c>
      <c r="C12" s="11">
        <v>0.0</v>
      </c>
      <c r="D12" s="11">
        <v>0.0</v>
      </c>
      <c r="E12" s="11">
        <v>0.0</v>
      </c>
      <c r="F12" s="19">
        <v>0.2</v>
      </c>
      <c r="G12" s="15">
        <v>0.75</v>
      </c>
      <c r="H12" s="11">
        <v>0.0</v>
      </c>
      <c r="I12" s="21" t="s">
        <v>44</v>
      </c>
      <c r="J12" s="22">
        <v>0.0</v>
      </c>
      <c r="K12" s="9"/>
    </row>
    <row r="13">
      <c r="B13" s="10" t="s">
        <v>45</v>
      </c>
      <c r="C13" s="11">
        <v>0.0</v>
      </c>
      <c r="D13" s="11">
        <v>0.0</v>
      </c>
      <c r="E13" s="11">
        <v>0.0</v>
      </c>
      <c r="F13" s="19">
        <v>0.2</v>
      </c>
      <c r="G13" s="11">
        <v>0.0</v>
      </c>
      <c r="H13" s="23">
        <v>-0.125</v>
      </c>
      <c r="I13" s="11">
        <v>0.0</v>
      </c>
      <c r="J13" s="22">
        <v>0.0</v>
      </c>
      <c r="K13" s="9"/>
    </row>
    <row r="14">
      <c r="B14" s="10" t="s">
        <v>46</v>
      </c>
      <c r="C14" s="11">
        <v>0.0</v>
      </c>
      <c r="D14" s="11">
        <v>0.0</v>
      </c>
      <c r="E14" s="11">
        <v>0.0</v>
      </c>
      <c r="F14" s="11">
        <v>0.0</v>
      </c>
      <c r="G14" s="24">
        <v>0.5</v>
      </c>
      <c r="H14" s="11">
        <v>0.0</v>
      </c>
      <c r="I14" s="17">
        <v>-0.4286</v>
      </c>
      <c r="J14" s="22">
        <v>0.0</v>
      </c>
      <c r="K14" s="9"/>
    </row>
    <row r="15">
      <c r="B15" s="10" t="s">
        <v>47</v>
      </c>
      <c r="C15" s="25">
        <v>0.25</v>
      </c>
      <c r="D15" s="11">
        <v>0.0</v>
      </c>
      <c r="E15" s="11">
        <v>0.0</v>
      </c>
      <c r="F15" s="26">
        <v>0.1667</v>
      </c>
      <c r="G15" s="11">
        <v>0.0</v>
      </c>
      <c r="H15" s="11">
        <v>0.0</v>
      </c>
      <c r="I15" s="11">
        <v>0.0</v>
      </c>
      <c r="J15" s="27">
        <v>-0.5</v>
      </c>
      <c r="K15" s="9"/>
    </row>
    <row r="16">
      <c r="B16" s="10" t="s">
        <v>48</v>
      </c>
      <c r="C16" s="11">
        <v>0.0</v>
      </c>
      <c r="D16" s="11">
        <v>0.0</v>
      </c>
      <c r="E16" s="11">
        <v>0.0</v>
      </c>
      <c r="F16" s="28">
        <v>0.0333</v>
      </c>
      <c r="G16" s="11">
        <v>0.0</v>
      </c>
      <c r="H16" s="11">
        <v>0.0</v>
      </c>
      <c r="I16" s="17">
        <v>-0.4286</v>
      </c>
      <c r="J16" s="22">
        <v>0.0</v>
      </c>
      <c r="K16" s="9"/>
    </row>
    <row r="17">
      <c r="B17" s="10" t="s">
        <v>49</v>
      </c>
      <c r="C17" s="11">
        <v>0.0</v>
      </c>
      <c r="D17" s="29">
        <v>-0.5</v>
      </c>
      <c r="E17" s="11">
        <v>0.0</v>
      </c>
      <c r="F17" s="19">
        <v>0.2</v>
      </c>
      <c r="G17" s="11">
        <v>0.0</v>
      </c>
      <c r="H17" s="23">
        <v>-0.125</v>
      </c>
      <c r="I17" s="30">
        <v>0.1428</v>
      </c>
      <c r="J17" s="27">
        <v>-0.5</v>
      </c>
      <c r="K17" s="9"/>
    </row>
    <row r="18">
      <c r="B18" s="31" t="s">
        <v>50</v>
      </c>
      <c r="C18" s="32">
        <v>0.0</v>
      </c>
      <c r="D18" s="32">
        <v>0.0</v>
      </c>
      <c r="E18" s="32">
        <v>0.0</v>
      </c>
      <c r="F18" s="33">
        <v>-0.8</v>
      </c>
      <c r="G18" s="34">
        <v>0.75</v>
      </c>
      <c r="H18" s="35">
        <v>-0.125</v>
      </c>
      <c r="I18" s="36">
        <v>-0.1429</v>
      </c>
      <c r="J18" s="37">
        <v>-1.0</v>
      </c>
      <c r="K18" s="9"/>
    </row>
  </sheetData>
  <mergeCells count="1"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52</v>
      </c>
      <c r="C1" s="1" t="s">
        <v>53</v>
      </c>
    </row>
    <row r="2">
      <c r="A2" s="2" t="str">
        <f>IFERROR(__xludf.DUMMYFUNCTION("QUERY(fig_52_task_completion_wide!A2:I73, ""SELECT I, E, G WHERE A = 'scenario_01'"", 0)"),"ASI1")</f>
        <v>ASI1</v>
      </c>
      <c r="B2" s="2">
        <f>IFERROR(__xludf.DUMMYFUNCTION("""COMPUTED_VALUE"""),1.0)</f>
        <v>1</v>
      </c>
      <c r="C2" s="2">
        <f>IFERROR(__xludf.DUMMYFUNCTION("""COMPUTED_VALUE"""),1.0)</f>
        <v>1</v>
      </c>
    </row>
    <row r="3">
      <c r="A3" s="2" t="str">
        <f>IFERROR(__xludf.DUMMYFUNCTION("""COMPUTED_VALUE"""),"Haiku")</f>
        <v>Haiku</v>
      </c>
      <c r="B3" s="2">
        <f>IFERROR(__xludf.DUMMYFUNCTION("""COMPUTED_VALUE"""),0.75)</f>
        <v>0.75</v>
      </c>
      <c r="C3" s="2">
        <f>IFERROR(__xludf.DUMMYFUNCTION("""COMPUTED_VALUE"""),1.0)</f>
        <v>1</v>
      </c>
    </row>
    <row r="4">
      <c r="A4" s="2" t="str">
        <f>IFERROR(__xludf.DUMMYFUNCTION("""COMPUTED_VALUE"""),"DSR1")</f>
        <v>DSR1</v>
      </c>
      <c r="B4" s="2">
        <f>IFERROR(__xludf.DUMMYFUNCTION("""COMPUTED_VALUE"""),1.0)</f>
        <v>1</v>
      </c>
      <c r="C4" s="2">
        <f>IFERROR(__xludf.DUMMYFUNCTION("""COMPUTED_VALUE"""),1.0)</f>
        <v>1</v>
      </c>
    </row>
    <row r="5">
      <c r="A5" s="2" t="str">
        <f>IFERROR(__xludf.DUMMYFUNCTION("""COMPUTED_VALUE"""),"Gemini")</f>
        <v>Gemini</v>
      </c>
      <c r="B5" s="2">
        <f>IFERROR(__xludf.DUMMYFUNCTION("""COMPUTED_VALUE"""),0.5)</f>
        <v>0.5</v>
      </c>
      <c r="C5" s="2">
        <f>IFERROR(__xludf.DUMMYFUNCTION("""COMPUTED_VALUE"""),0.5)</f>
        <v>0.5</v>
      </c>
    </row>
    <row r="6">
      <c r="A6" s="2" t="str">
        <f>IFERROR(__xludf.DUMMYFUNCTION("""COMPUTED_VALUE"""),"Gemma-4")</f>
        <v>Gemma-4</v>
      </c>
      <c r="B6" s="2">
        <f>IFERROR(__xludf.DUMMYFUNCTION("""COMPUTED_VALUE"""),1.0)</f>
        <v>1</v>
      </c>
      <c r="C6" s="2">
        <f>IFERROR(__xludf.DUMMYFUNCTION("""COMPUTED_VALUE"""),1.0)</f>
        <v>1</v>
      </c>
    </row>
    <row r="7">
      <c r="A7" s="2" t="str">
        <f>IFERROR(__xludf.DUMMYFUNCTION("""COMPUTED_VALUE"""),"GPT-4o")</f>
        <v>GPT-4o</v>
      </c>
      <c r="B7" s="2">
        <f>IFERROR(__xludf.DUMMYFUNCTION("""COMPUTED_VALUE"""),1.0)</f>
        <v>1</v>
      </c>
      <c r="C7" s="2">
        <f>IFERROR(__xludf.DUMMYFUNCTION("""COMPUTED_VALUE"""),1.0)</f>
        <v>1</v>
      </c>
    </row>
    <row r="8">
      <c r="A8" s="2" t="str">
        <f>IFERROR(__xludf.DUMMYFUNCTION("""COMPUTED_VALUE"""),"GPT-OSS")</f>
        <v>GPT-OSS</v>
      </c>
      <c r="B8" s="2">
        <f>IFERROR(__xludf.DUMMYFUNCTION("""COMPUTED_VALUE"""),1.0)</f>
        <v>1</v>
      </c>
      <c r="C8" s="2">
        <f>IFERROR(__xludf.DUMMYFUNCTION("""COMPUTED_VALUE"""),1.0)</f>
        <v>1</v>
      </c>
    </row>
    <row r="9">
      <c r="A9" s="2" t="str">
        <f>IFERROR(__xludf.DUMMYFUNCTION("""COMPUTED_VALUE"""),"LLaMA")</f>
        <v>LLaMA</v>
      </c>
      <c r="B9" s="2">
        <f>IFERROR(__xludf.DUMMYFUNCTION("""COMPUTED_VALUE"""),1.0)</f>
        <v>1</v>
      </c>
      <c r="C9" s="2">
        <f>IFERROR(__xludf.DUMMYFUNCTION("""COMPUTED_VALUE"""),1.0)</f>
        <v>1</v>
      </c>
    </row>
    <row r="10">
      <c r="A10" s="2" t="str">
        <f>IFERROR(__xludf.DUMMYFUNCTION("""COMPUTED_VALUE"""),"Qwen3")</f>
        <v>Qwen3</v>
      </c>
      <c r="B10" s="2">
        <f>IFERROR(__xludf.DUMMYFUNCTION("""COMPUTED_VALUE"""),1.0)</f>
        <v>1</v>
      </c>
      <c r="C10" s="2">
        <f>IFERROR(__xludf.DUMMYFUNCTION("""COMPUTED_VALUE"""),1.0)</f>
        <v>1</v>
      </c>
    </row>
    <row r="12">
      <c r="A12" s="1" t="s">
        <v>51</v>
      </c>
      <c r="B12" s="1" t="s">
        <v>52</v>
      </c>
      <c r="C12" s="1" t="s">
        <v>53</v>
      </c>
    </row>
    <row r="13">
      <c r="A13" s="2" t="str">
        <f>IFERROR(__xludf.DUMMYFUNCTION("QUERY(fig_52_task_completion_wide!A2:I73, ""SELECT I, E, G WHERE A = 'scenario_02'"", 0)"),"ASI1")</f>
        <v>ASI1</v>
      </c>
      <c r="B13" s="2">
        <f>IFERROR(__xludf.DUMMYFUNCTION("""COMPUTED_VALUE"""),1.0)</f>
        <v>1</v>
      </c>
      <c r="C13" s="2">
        <f>IFERROR(__xludf.DUMMYFUNCTION("""COMPUTED_VALUE"""),1.0)</f>
        <v>1</v>
      </c>
    </row>
    <row r="14">
      <c r="A14" s="2" t="str">
        <f>IFERROR(__xludf.DUMMYFUNCTION("""COMPUTED_VALUE"""),"Haiku")</f>
        <v>Haiku</v>
      </c>
      <c r="B14" s="2">
        <f>IFERROR(__xludf.DUMMYFUNCTION("""COMPUTED_VALUE"""),1.0)</f>
        <v>1</v>
      </c>
      <c r="C14" s="2">
        <f>IFERROR(__xludf.DUMMYFUNCTION("""COMPUTED_VALUE"""),1.0)</f>
        <v>1</v>
      </c>
    </row>
    <row r="15">
      <c r="A15" s="2" t="str">
        <f>IFERROR(__xludf.DUMMYFUNCTION("""COMPUTED_VALUE"""),"DSR1")</f>
        <v>DSR1</v>
      </c>
      <c r="B15" s="2">
        <f>IFERROR(__xludf.DUMMYFUNCTION("""COMPUTED_VALUE"""),1.0)</f>
        <v>1</v>
      </c>
      <c r="C15" s="2">
        <f>IFERROR(__xludf.DUMMYFUNCTION("""COMPUTED_VALUE"""),1.0)</f>
        <v>1</v>
      </c>
    </row>
    <row r="16">
      <c r="A16" s="2" t="str">
        <f>IFERROR(__xludf.DUMMYFUNCTION("""COMPUTED_VALUE"""),"Gemini")</f>
        <v>Gemini</v>
      </c>
      <c r="B16" s="2">
        <f>IFERROR(__xludf.DUMMYFUNCTION("""COMPUTED_VALUE"""),1.0)</f>
        <v>1</v>
      </c>
      <c r="C16" s="2">
        <f>IFERROR(__xludf.DUMMYFUNCTION("""COMPUTED_VALUE"""),0.5)</f>
        <v>0.5</v>
      </c>
    </row>
    <row r="17">
      <c r="A17" s="2" t="str">
        <f>IFERROR(__xludf.DUMMYFUNCTION("""COMPUTED_VALUE"""),"Gemma-4")</f>
        <v>Gemma-4</v>
      </c>
      <c r="B17" s="2">
        <f>IFERROR(__xludf.DUMMYFUNCTION("""COMPUTED_VALUE"""),1.0)</f>
        <v>1</v>
      </c>
      <c r="C17" s="2">
        <f>IFERROR(__xludf.DUMMYFUNCTION("""COMPUTED_VALUE"""),1.0)</f>
        <v>1</v>
      </c>
    </row>
    <row r="18">
      <c r="A18" s="2" t="str">
        <f>IFERROR(__xludf.DUMMYFUNCTION("""COMPUTED_VALUE"""),"GPT-4o")</f>
        <v>GPT-4o</v>
      </c>
      <c r="B18" s="2">
        <f>IFERROR(__xludf.DUMMYFUNCTION("""COMPUTED_VALUE"""),1.0)</f>
        <v>1</v>
      </c>
      <c r="C18" s="2">
        <f>IFERROR(__xludf.DUMMYFUNCTION("""COMPUTED_VALUE"""),1.0)</f>
        <v>1</v>
      </c>
    </row>
    <row r="19">
      <c r="A19" s="2" t="str">
        <f>IFERROR(__xludf.DUMMYFUNCTION("""COMPUTED_VALUE"""),"GPT-OSS")</f>
        <v>GPT-OSS</v>
      </c>
      <c r="B19" s="2">
        <f>IFERROR(__xludf.DUMMYFUNCTION("""COMPUTED_VALUE"""),0.0)</f>
        <v>0</v>
      </c>
      <c r="C19" s="2">
        <f>IFERROR(__xludf.DUMMYFUNCTION("""COMPUTED_VALUE"""),1.0)</f>
        <v>1</v>
      </c>
    </row>
    <row r="20">
      <c r="A20" s="2" t="str">
        <f>IFERROR(__xludf.DUMMYFUNCTION("""COMPUTED_VALUE"""),"LLaMA")</f>
        <v>LLaMA</v>
      </c>
      <c r="B20" s="2">
        <f>IFERROR(__xludf.DUMMYFUNCTION("""COMPUTED_VALUE"""),1.0)</f>
        <v>1</v>
      </c>
      <c r="C20" s="2">
        <f>IFERROR(__xludf.DUMMYFUNCTION("""COMPUTED_VALUE"""),1.0)</f>
        <v>1</v>
      </c>
    </row>
    <row r="21">
      <c r="A21" s="2" t="str">
        <f>IFERROR(__xludf.DUMMYFUNCTION("""COMPUTED_VALUE"""),"Qwen3")</f>
        <v>Qwen3</v>
      </c>
      <c r="B21" s="2">
        <f>IFERROR(__xludf.DUMMYFUNCTION("""COMPUTED_VALUE"""),1.0)</f>
        <v>1</v>
      </c>
      <c r="C21" s="2">
        <f>IFERROR(__xludf.DUMMYFUNCTION("""COMPUTED_VALUE"""),1.0)</f>
        <v>1</v>
      </c>
    </row>
    <row r="23">
      <c r="A23" s="1" t="s">
        <v>51</v>
      </c>
      <c r="B23" s="1" t="s">
        <v>52</v>
      </c>
      <c r="C23" s="1" t="s">
        <v>53</v>
      </c>
    </row>
    <row r="24">
      <c r="A24" s="2" t="str">
        <f>IFERROR(__xludf.DUMMYFUNCTION("QUERY(fig_52_task_completion_wide!A2:I73, ""SELECT I, E, G WHERE A = 'scenario_03'"", 0)"),"ASI1")</f>
        <v>ASI1</v>
      </c>
      <c r="B24" s="2">
        <f>IFERROR(__xludf.DUMMYFUNCTION("""COMPUTED_VALUE"""),1.0)</f>
        <v>1</v>
      </c>
      <c r="C24" s="2">
        <f>IFERROR(__xludf.DUMMYFUNCTION("""COMPUTED_VALUE"""),1.0)</f>
        <v>1</v>
      </c>
    </row>
    <row r="25">
      <c r="A25" s="2" t="str">
        <f>IFERROR(__xludf.DUMMYFUNCTION("""COMPUTED_VALUE"""),"Haiku")</f>
        <v>Haiku</v>
      </c>
      <c r="B25" s="2">
        <f>IFERROR(__xludf.DUMMYFUNCTION("""COMPUTED_VALUE"""),1.0)</f>
        <v>1</v>
      </c>
      <c r="C25" s="2">
        <f>IFERROR(__xludf.DUMMYFUNCTION("""COMPUTED_VALUE"""),1.0)</f>
        <v>1</v>
      </c>
    </row>
    <row r="26">
      <c r="A26" s="2" t="str">
        <f>IFERROR(__xludf.DUMMYFUNCTION("""COMPUTED_VALUE"""),"DSR1")</f>
        <v>DSR1</v>
      </c>
      <c r="B26" s="2">
        <f>IFERROR(__xludf.DUMMYFUNCTION("""COMPUTED_VALUE"""),1.0)</f>
        <v>1</v>
      </c>
      <c r="C26" s="2">
        <f>IFERROR(__xludf.DUMMYFUNCTION("""COMPUTED_VALUE"""),1.0)</f>
        <v>1</v>
      </c>
    </row>
    <row r="27">
      <c r="A27" s="2" t="str">
        <f>IFERROR(__xludf.DUMMYFUNCTION("""COMPUTED_VALUE"""),"Gemini")</f>
        <v>Gemini</v>
      </c>
      <c r="B27" s="2">
        <f>IFERROR(__xludf.DUMMYFUNCTION("""COMPUTED_VALUE"""),1.0)</f>
        <v>1</v>
      </c>
      <c r="C27" s="2">
        <f>IFERROR(__xludf.DUMMYFUNCTION("""COMPUTED_VALUE"""),1.0)</f>
        <v>1</v>
      </c>
    </row>
    <row r="28">
      <c r="A28" s="2" t="str">
        <f>IFERROR(__xludf.DUMMYFUNCTION("""COMPUTED_VALUE"""),"Gemma-4")</f>
        <v>Gemma-4</v>
      </c>
      <c r="B28" s="2">
        <f>IFERROR(__xludf.DUMMYFUNCTION("""COMPUTED_VALUE"""),1.0)</f>
        <v>1</v>
      </c>
      <c r="C28" s="2">
        <f>IFERROR(__xludf.DUMMYFUNCTION("""COMPUTED_VALUE"""),1.0)</f>
        <v>1</v>
      </c>
    </row>
    <row r="29">
      <c r="A29" s="2" t="str">
        <f>IFERROR(__xludf.DUMMYFUNCTION("""COMPUTED_VALUE"""),"GPT-4o")</f>
        <v>GPT-4o</v>
      </c>
      <c r="B29" s="2">
        <f>IFERROR(__xludf.DUMMYFUNCTION("""COMPUTED_VALUE"""),1.0)</f>
        <v>1</v>
      </c>
      <c r="C29" s="2">
        <f>IFERROR(__xludf.DUMMYFUNCTION("""COMPUTED_VALUE"""),1.0)</f>
        <v>1</v>
      </c>
    </row>
    <row r="30">
      <c r="A30" s="2" t="str">
        <f>IFERROR(__xludf.DUMMYFUNCTION("""COMPUTED_VALUE"""),"GPT-OSS")</f>
        <v>GPT-OSS</v>
      </c>
      <c r="B30" s="2">
        <f>IFERROR(__xludf.DUMMYFUNCTION("""COMPUTED_VALUE"""),0.2)</f>
        <v>0.2</v>
      </c>
      <c r="C30" s="2">
        <f>IFERROR(__xludf.DUMMYFUNCTION("""COMPUTED_VALUE"""),1.0)</f>
        <v>1</v>
      </c>
    </row>
    <row r="31">
      <c r="A31" s="2" t="str">
        <f>IFERROR(__xludf.DUMMYFUNCTION("""COMPUTED_VALUE"""),"LLaMA")</f>
        <v>LLaMA</v>
      </c>
      <c r="B31" s="2">
        <f>IFERROR(__xludf.DUMMYFUNCTION("""COMPUTED_VALUE"""),1.0)</f>
        <v>1</v>
      </c>
      <c r="C31" s="2">
        <f>IFERROR(__xludf.DUMMYFUNCTION("""COMPUTED_VALUE"""),1.0)</f>
        <v>1</v>
      </c>
    </row>
    <row r="32">
      <c r="A32" s="2" t="str">
        <f>IFERROR(__xludf.DUMMYFUNCTION("""COMPUTED_VALUE"""),"Qwen3")</f>
        <v>Qwen3</v>
      </c>
      <c r="B32" s="2">
        <f>IFERROR(__xludf.DUMMYFUNCTION("""COMPUTED_VALUE"""),1.0)</f>
        <v>1</v>
      </c>
      <c r="C32" s="2">
        <f>IFERROR(__xludf.DUMMYFUNCTION("""COMPUTED_VALUE"""),1.0)</f>
        <v>1</v>
      </c>
    </row>
    <row r="34">
      <c r="A34" s="1" t="s">
        <v>51</v>
      </c>
      <c r="B34" s="1" t="s">
        <v>52</v>
      </c>
      <c r="C34" s="1" t="s">
        <v>53</v>
      </c>
    </row>
    <row r="35">
      <c r="A35" s="2" t="str">
        <f>IFERROR(__xludf.DUMMYFUNCTION("QUERY(fig_52_task_completion_wide!A2:I73, ""SELECT I, E, G WHERE A = 'scenario_04'"", 0)"),"ASI1")</f>
        <v>ASI1</v>
      </c>
      <c r="B35" s="2">
        <f>IFERROR(__xludf.DUMMYFUNCTION("""COMPUTED_VALUE"""),0.8)</f>
        <v>0.8</v>
      </c>
      <c r="C35" s="2">
        <f>IFERROR(__xludf.DUMMYFUNCTION("""COMPUTED_VALUE"""),0.0)</f>
        <v>0</v>
      </c>
    </row>
    <row r="36">
      <c r="A36" s="2" t="str">
        <f>IFERROR(__xludf.DUMMYFUNCTION("""COMPUTED_VALUE"""),"Haiku")</f>
        <v>Haiku</v>
      </c>
      <c r="B36" s="2">
        <f>IFERROR(__xludf.DUMMYFUNCTION("""COMPUTED_VALUE"""),0.8333)</f>
        <v>0.8333</v>
      </c>
      <c r="C36" s="2">
        <f>IFERROR(__xludf.DUMMYFUNCTION("""COMPUTED_VALUE"""),1.0)</f>
        <v>1</v>
      </c>
    </row>
    <row r="37">
      <c r="A37" s="2" t="str">
        <f>IFERROR(__xludf.DUMMYFUNCTION("""COMPUTED_VALUE"""),"DSR1")</f>
        <v>DSR1</v>
      </c>
      <c r="B37" s="2">
        <f>IFERROR(__xludf.DUMMYFUNCTION("""COMPUTED_VALUE"""),0.8)</f>
        <v>0.8</v>
      </c>
      <c r="C37" s="2">
        <f>IFERROR(__xludf.DUMMYFUNCTION("""COMPUTED_VALUE"""),1.0)</f>
        <v>1</v>
      </c>
    </row>
    <row r="38">
      <c r="A38" s="2" t="str">
        <f>IFERROR(__xludf.DUMMYFUNCTION("""COMPUTED_VALUE"""),"Gemini")</f>
        <v>Gemini</v>
      </c>
      <c r="B38" s="2">
        <f>IFERROR(__xludf.DUMMYFUNCTION("""COMPUTED_VALUE"""),0.8)</f>
        <v>0.8</v>
      </c>
      <c r="C38" s="2">
        <f>IFERROR(__xludf.DUMMYFUNCTION("""COMPUTED_VALUE"""),1.0)</f>
        <v>1</v>
      </c>
    </row>
    <row r="39">
      <c r="A39" s="2" t="str">
        <f>IFERROR(__xludf.DUMMYFUNCTION("""COMPUTED_VALUE"""),"Gemma-4")</f>
        <v>Gemma-4</v>
      </c>
      <c r="B39" s="2">
        <f>IFERROR(__xludf.DUMMYFUNCTION("""COMPUTED_VALUE"""),0.8)</f>
        <v>0.8</v>
      </c>
      <c r="C39" s="2">
        <f>IFERROR(__xludf.DUMMYFUNCTION("""COMPUTED_VALUE"""),1.0)</f>
        <v>1</v>
      </c>
    </row>
    <row r="40">
      <c r="A40" s="2" t="str">
        <f>IFERROR(__xludf.DUMMYFUNCTION("""COMPUTED_VALUE"""),"GPT-4o")</f>
        <v>GPT-4o</v>
      </c>
      <c r="B40" s="2">
        <f>IFERROR(__xludf.DUMMYFUNCTION("""COMPUTED_VALUE"""),0.8)</f>
        <v>0.8</v>
      </c>
      <c r="C40" s="2">
        <f>IFERROR(__xludf.DUMMYFUNCTION("""COMPUTED_VALUE"""),0.8333)</f>
        <v>0.8333</v>
      </c>
    </row>
    <row r="41">
      <c r="A41" s="2" t="str">
        <f>IFERROR(__xludf.DUMMYFUNCTION("""COMPUTED_VALUE"""),"GPT-OSS")</f>
        <v>GPT-OSS</v>
      </c>
      <c r="B41" s="2">
        <f>IFERROR(__xludf.DUMMYFUNCTION("""COMPUTED_VALUE"""),0.8)</f>
        <v>0.8</v>
      </c>
      <c r="C41" s="2">
        <f>IFERROR(__xludf.DUMMYFUNCTION("""COMPUTED_VALUE"""),0.1667)</f>
        <v>0.1667</v>
      </c>
    </row>
    <row r="42">
      <c r="A42" s="2" t="str">
        <f>IFERROR(__xludf.DUMMYFUNCTION("""COMPUTED_VALUE"""),"LLaMA")</f>
        <v>LLaMA</v>
      </c>
      <c r="B42" s="2">
        <f>IFERROR(__xludf.DUMMYFUNCTION("""COMPUTED_VALUE"""),1.0)</f>
        <v>1</v>
      </c>
      <c r="C42" s="2">
        <f>IFERROR(__xludf.DUMMYFUNCTION("""COMPUTED_VALUE"""),1.0)</f>
        <v>1</v>
      </c>
    </row>
    <row r="43">
      <c r="A43" s="2" t="str">
        <f>IFERROR(__xludf.DUMMYFUNCTION("""COMPUTED_VALUE"""),"Qwen3")</f>
        <v>Qwen3</v>
      </c>
      <c r="B43" s="2">
        <f>IFERROR(__xludf.DUMMYFUNCTION("""COMPUTED_VALUE"""),0.8)</f>
        <v>0.8</v>
      </c>
      <c r="C43" s="2">
        <f>IFERROR(__xludf.DUMMYFUNCTION("""COMPUTED_VALUE"""),1.0)</f>
        <v>1</v>
      </c>
    </row>
    <row r="45">
      <c r="A45" s="1" t="s">
        <v>51</v>
      </c>
      <c r="B45" s="1" t="s">
        <v>52</v>
      </c>
      <c r="C45" s="1" t="s">
        <v>53</v>
      </c>
    </row>
    <row r="46">
      <c r="A46" s="2" t="str">
        <f>IFERROR(__xludf.DUMMYFUNCTION("QUERY(fig_52_task_completion_wide!A2:I73, ""SELECT I, E, G WHERE A = 'scenario_05'"", 0)"),"ASI1")</f>
        <v>ASI1</v>
      </c>
      <c r="B46" s="2">
        <f>IFERROR(__xludf.DUMMYFUNCTION("""COMPUTED_VALUE"""),0.0)</f>
        <v>0</v>
      </c>
      <c r="C46" s="2">
        <f>IFERROR(__xludf.DUMMYFUNCTION("""COMPUTED_VALUE"""),0.75)</f>
        <v>0.75</v>
      </c>
    </row>
    <row r="47">
      <c r="A47" s="2" t="str">
        <f>IFERROR(__xludf.DUMMYFUNCTION("""COMPUTED_VALUE"""),"Haiku")</f>
        <v>Haiku</v>
      </c>
      <c r="B47" s="2">
        <f>IFERROR(__xludf.DUMMYFUNCTION("""COMPUTED_VALUE"""),0.75)</f>
        <v>0.75</v>
      </c>
      <c r="C47" s="2">
        <f>IFERROR(__xludf.DUMMYFUNCTION("""COMPUTED_VALUE"""),0.75)</f>
        <v>0.75</v>
      </c>
    </row>
    <row r="48">
      <c r="A48" s="2" t="str">
        <f>IFERROR(__xludf.DUMMYFUNCTION("""COMPUTED_VALUE"""),"DSR1")</f>
        <v>DSR1</v>
      </c>
      <c r="B48" s="2">
        <f>IFERROR(__xludf.DUMMYFUNCTION("""COMPUTED_VALUE"""),0.0)</f>
        <v>0</v>
      </c>
      <c r="C48" s="2">
        <f>IFERROR(__xludf.DUMMYFUNCTION("""COMPUTED_VALUE"""),0.75)</f>
        <v>0.75</v>
      </c>
    </row>
    <row r="49">
      <c r="A49" s="2" t="str">
        <f>IFERROR(__xludf.DUMMYFUNCTION("""COMPUTED_VALUE"""),"Gemini")</f>
        <v>Gemini</v>
      </c>
      <c r="B49" s="2">
        <f>IFERROR(__xludf.DUMMYFUNCTION("""COMPUTED_VALUE"""),0.75)</f>
        <v>0.75</v>
      </c>
      <c r="C49" s="2">
        <f>IFERROR(__xludf.DUMMYFUNCTION("""COMPUTED_VALUE"""),0.75)</f>
        <v>0.75</v>
      </c>
    </row>
    <row r="50">
      <c r="A50" s="2" t="str">
        <f>IFERROR(__xludf.DUMMYFUNCTION("""COMPUTED_VALUE"""),"Gemma-4")</f>
        <v>Gemma-4</v>
      </c>
      <c r="B50" s="2">
        <f>IFERROR(__xludf.DUMMYFUNCTION("""COMPUTED_VALUE"""),0.75)</f>
        <v>0.75</v>
      </c>
      <c r="C50" s="2">
        <f>IFERROR(__xludf.DUMMYFUNCTION("""COMPUTED_VALUE"""),0.75)</f>
        <v>0.75</v>
      </c>
    </row>
    <row r="51">
      <c r="A51" s="2" t="str">
        <f>IFERROR(__xludf.DUMMYFUNCTION("""COMPUTED_VALUE"""),"GPT-4o")</f>
        <v>GPT-4o</v>
      </c>
      <c r="B51" s="2">
        <f>IFERROR(__xludf.DUMMYFUNCTION("""COMPUTED_VALUE"""),0.75)</f>
        <v>0.75</v>
      </c>
      <c r="C51" s="2">
        <f>IFERROR(__xludf.DUMMYFUNCTION("""COMPUTED_VALUE"""),0.75)</f>
        <v>0.75</v>
      </c>
    </row>
    <row r="52">
      <c r="A52" s="2" t="str">
        <f>IFERROR(__xludf.DUMMYFUNCTION("""COMPUTED_VALUE"""),"GPT-OSS")</f>
        <v>GPT-OSS</v>
      </c>
      <c r="B52" s="2">
        <f>IFERROR(__xludf.DUMMYFUNCTION("""COMPUTED_VALUE"""),0.0)</f>
        <v>0</v>
      </c>
      <c r="C52" s="2">
        <f>IFERROR(__xludf.DUMMYFUNCTION("""COMPUTED_VALUE"""),0.75)</f>
        <v>0.75</v>
      </c>
    </row>
    <row r="53">
      <c r="A53" s="2" t="str">
        <f>IFERROR(__xludf.DUMMYFUNCTION("""COMPUTED_VALUE"""),"LLaMA")</f>
        <v>LLaMA</v>
      </c>
      <c r="B53" s="2">
        <f>IFERROR(__xludf.DUMMYFUNCTION("""COMPUTED_VALUE"""),0.0)</f>
        <v>0</v>
      </c>
      <c r="C53" s="2">
        <f>IFERROR(__xludf.DUMMYFUNCTION("""COMPUTED_VALUE"""),0.5)</f>
        <v>0.5</v>
      </c>
    </row>
    <row r="54">
      <c r="A54" s="2" t="str">
        <f>IFERROR(__xludf.DUMMYFUNCTION("""COMPUTED_VALUE"""),"Qwen3")</f>
        <v>Qwen3</v>
      </c>
      <c r="B54" s="2">
        <f>IFERROR(__xludf.DUMMYFUNCTION("""COMPUTED_VALUE"""),0.75)</f>
        <v>0.75</v>
      </c>
      <c r="C54" s="2">
        <f>IFERROR(__xludf.DUMMYFUNCTION("""COMPUTED_VALUE"""),0.75)</f>
        <v>0.75</v>
      </c>
    </row>
    <row r="56">
      <c r="A56" s="1" t="s">
        <v>51</v>
      </c>
      <c r="B56" s="1" t="s">
        <v>52</v>
      </c>
      <c r="C56" s="1" t="s">
        <v>53</v>
      </c>
    </row>
    <row r="57">
      <c r="A57" s="2" t="str">
        <f>IFERROR(__xludf.DUMMYFUNCTION("QUERY(fig_52_task_completion_wide!A2:I73, ""SELECT I, E, G WHERE A = 'scenario_06'"", 0)"),"ASI1")</f>
        <v>ASI1</v>
      </c>
      <c r="B57" s="2">
        <f>IFERROR(__xludf.DUMMYFUNCTION("""COMPUTED_VALUE"""),1.0)</f>
        <v>1</v>
      </c>
      <c r="C57" s="2">
        <f>IFERROR(__xludf.DUMMYFUNCTION("""COMPUTED_VALUE"""),0.875)</f>
        <v>0.875</v>
      </c>
    </row>
    <row r="58">
      <c r="A58" s="2" t="str">
        <f>IFERROR(__xludf.DUMMYFUNCTION("""COMPUTED_VALUE"""),"Haiku")</f>
        <v>Haiku</v>
      </c>
      <c r="B58" s="2">
        <f>IFERROR(__xludf.DUMMYFUNCTION("""COMPUTED_VALUE"""),1.0)</f>
        <v>1</v>
      </c>
      <c r="C58" s="2">
        <f>IFERROR(__xludf.DUMMYFUNCTION("""COMPUTED_VALUE"""),1.0)</f>
        <v>1</v>
      </c>
    </row>
    <row r="59">
      <c r="A59" s="2" t="str">
        <f>IFERROR(__xludf.DUMMYFUNCTION("""COMPUTED_VALUE"""),"DSR1")</f>
        <v>DSR1</v>
      </c>
      <c r="B59" s="2">
        <f>IFERROR(__xludf.DUMMYFUNCTION("""COMPUTED_VALUE"""),1.0)</f>
        <v>1</v>
      </c>
      <c r="C59" s="2">
        <f>IFERROR(__xludf.DUMMYFUNCTION("""COMPUTED_VALUE"""),1.0)</f>
        <v>1</v>
      </c>
    </row>
    <row r="60">
      <c r="A60" s="2" t="str">
        <f>IFERROR(__xludf.DUMMYFUNCTION("""COMPUTED_VALUE"""),"Gemini")</f>
        <v>Gemini</v>
      </c>
      <c r="B60" s="2">
        <f>IFERROR(__xludf.DUMMYFUNCTION("""COMPUTED_VALUE"""),1.0)</f>
        <v>1</v>
      </c>
      <c r="C60" s="2">
        <f>IFERROR(__xludf.DUMMYFUNCTION("""COMPUTED_VALUE"""),0.875)</f>
        <v>0.875</v>
      </c>
    </row>
    <row r="61">
      <c r="A61" s="2" t="str">
        <f>IFERROR(__xludf.DUMMYFUNCTION("""COMPUTED_VALUE"""),"Gemma-4")</f>
        <v>Gemma-4</v>
      </c>
      <c r="B61" s="2">
        <f>IFERROR(__xludf.DUMMYFUNCTION("""COMPUTED_VALUE"""),1.0)</f>
        <v>1</v>
      </c>
      <c r="C61" s="2">
        <f>IFERROR(__xludf.DUMMYFUNCTION("""COMPUTED_VALUE"""),0.875)</f>
        <v>0.875</v>
      </c>
    </row>
    <row r="62">
      <c r="A62" s="2" t="str">
        <f>IFERROR(__xludf.DUMMYFUNCTION("""COMPUTED_VALUE"""),"GPT-4o")</f>
        <v>GPT-4o</v>
      </c>
      <c r="B62" s="2">
        <f>IFERROR(__xludf.DUMMYFUNCTION("""COMPUTED_VALUE"""),0.875)</f>
        <v>0.875</v>
      </c>
      <c r="C62" s="2">
        <f>IFERROR(__xludf.DUMMYFUNCTION("""COMPUTED_VALUE"""),0.875)</f>
        <v>0.875</v>
      </c>
    </row>
    <row r="63">
      <c r="A63" s="2" t="str">
        <f>IFERROR(__xludf.DUMMYFUNCTION("""COMPUTED_VALUE"""),"GPT-OSS")</f>
        <v>GPT-OSS</v>
      </c>
      <c r="B63" s="2">
        <f>IFERROR(__xludf.DUMMYFUNCTION("""COMPUTED_VALUE"""),0.625)</f>
        <v>0.625</v>
      </c>
      <c r="C63" s="2">
        <f>IFERROR(__xludf.DUMMYFUNCTION("""COMPUTED_VALUE"""),1.0)</f>
        <v>1</v>
      </c>
    </row>
    <row r="64">
      <c r="A64" s="2" t="str">
        <f>IFERROR(__xludf.DUMMYFUNCTION("""COMPUTED_VALUE"""),"LLaMA")</f>
        <v>LLaMA</v>
      </c>
      <c r="B64" s="2">
        <f>IFERROR(__xludf.DUMMYFUNCTION("""COMPUTED_VALUE"""),0.875)</f>
        <v>0.875</v>
      </c>
      <c r="C64" s="2">
        <f>IFERROR(__xludf.DUMMYFUNCTION("""COMPUTED_VALUE"""),0.875)</f>
        <v>0.875</v>
      </c>
    </row>
    <row r="65">
      <c r="A65" s="2" t="str">
        <f>IFERROR(__xludf.DUMMYFUNCTION("""COMPUTED_VALUE"""),"Qwen3")</f>
        <v>Qwen3</v>
      </c>
      <c r="B65" s="2">
        <f>IFERROR(__xludf.DUMMYFUNCTION("""COMPUTED_VALUE"""),0.875)</f>
        <v>0.875</v>
      </c>
      <c r="C65" s="2">
        <f>IFERROR(__xludf.DUMMYFUNCTION("""COMPUTED_VALUE"""),0.875)</f>
        <v>0.875</v>
      </c>
    </row>
    <row r="67">
      <c r="A67" s="1" t="s">
        <v>51</v>
      </c>
      <c r="B67" s="1" t="s">
        <v>52</v>
      </c>
      <c r="C67" s="1" t="s">
        <v>53</v>
      </c>
    </row>
    <row r="68">
      <c r="A68" s="2" t="str">
        <f>IFERROR(__xludf.DUMMYFUNCTION("QUERY(fig_52_task_completion_wide!A2:I73, ""SELECT I, E, G WHERE A = 'scenario_07'"", 0)"),"ASI1")</f>
        <v>ASI1</v>
      </c>
      <c r="B68" s="2">
        <f>IFERROR(__xludf.DUMMYFUNCTION("""COMPUTED_VALUE"""),1.0)</f>
        <v>1</v>
      </c>
      <c r="C68" s="2">
        <f>IFERROR(__xludf.DUMMYFUNCTION("""COMPUTED_VALUE"""),0.8571)</f>
        <v>0.8571</v>
      </c>
    </row>
    <row r="69">
      <c r="A69" s="2" t="str">
        <f>IFERROR(__xludf.DUMMYFUNCTION("""COMPUTED_VALUE"""),"Haiku")</f>
        <v>Haiku</v>
      </c>
      <c r="B69" s="2">
        <f>IFERROR(__xludf.DUMMYFUNCTION("""COMPUTED_VALUE"""),1.0)</f>
        <v>1</v>
      </c>
      <c r="C69" s="2">
        <f>IFERROR(__xludf.DUMMYFUNCTION("""COMPUTED_VALUE"""),1.0)</f>
        <v>1</v>
      </c>
    </row>
    <row r="70">
      <c r="A70" s="2" t="str">
        <f>IFERROR(__xludf.DUMMYFUNCTION("""COMPUTED_VALUE"""),"DSR1")</f>
        <v>DSR1</v>
      </c>
      <c r="B70" s="2">
        <f>IFERROR(__xludf.DUMMYFUNCTION("""COMPUTED_VALUE"""),1.0)</f>
        <v>1</v>
      </c>
      <c r="C70" s="2"/>
    </row>
    <row r="71">
      <c r="A71" s="2" t="str">
        <f>IFERROR(__xludf.DUMMYFUNCTION("""COMPUTED_VALUE"""),"Gemini")</f>
        <v>Gemini</v>
      </c>
      <c r="B71" s="2">
        <f>IFERROR(__xludf.DUMMYFUNCTION("""COMPUTED_VALUE"""),0.4286)</f>
        <v>0.4286</v>
      </c>
      <c r="C71" s="2">
        <f>IFERROR(__xludf.DUMMYFUNCTION("""COMPUTED_VALUE"""),0.5714)</f>
        <v>0.5714</v>
      </c>
    </row>
    <row r="72">
      <c r="A72" s="2" t="str">
        <f>IFERROR(__xludf.DUMMYFUNCTION("""COMPUTED_VALUE"""),"Gemma-4")</f>
        <v>Gemma-4</v>
      </c>
      <c r="B72" s="2">
        <f>IFERROR(__xludf.DUMMYFUNCTION("""COMPUTED_VALUE"""),1.0)</f>
        <v>1</v>
      </c>
      <c r="C72" s="2">
        <f>IFERROR(__xludf.DUMMYFUNCTION("""COMPUTED_VALUE"""),1.0)</f>
        <v>1</v>
      </c>
    </row>
    <row r="73">
      <c r="A73" s="2" t="str">
        <f>IFERROR(__xludf.DUMMYFUNCTION("""COMPUTED_VALUE"""),"GPT-4o")</f>
        <v>GPT-4o</v>
      </c>
      <c r="B73" s="2">
        <f>IFERROR(__xludf.DUMMYFUNCTION("""COMPUTED_VALUE"""),1.0)</f>
        <v>1</v>
      </c>
      <c r="C73" s="2">
        <f>IFERROR(__xludf.DUMMYFUNCTION("""COMPUTED_VALUE"""),0.5714)</f>
        <v>0.5714</v>
      </c>
    </row>
    <row r="74">
      <c r="A74" s="2" t="str">
        <f>IFERROR(__xludf.DUMMYFUNCTION("""COMPUTED_VALUE"""),"GPT-OSS")</f>
        <v>GPT-OSS</v>
      </c>
      <c r="B74" s="2">
        <f>IFERROR(__xludf.DUMMYFUNCTION("""COMPUTED_VALUE"""),1.0)</f>
        <v>1</v>
      </c>
      <c r="C74" s="2">
        <f>IFERROR(__xludf.DUMMYFUNCTION("""COMPUTED_VALUE"""),0.5714)</f>
        <v>0.5714</v>
      </c>
    </row>
    <row r="75">
      <c r="A75" s="2" t="str">
        <f>IFERROR(__xludf.DUMMYFUNCTION("""COMPUTED_VALUE"""),"LLaMA")</f>
        <v>LLaMA</v>
      </c>
      <c r="B75" s="2">
        <f>IFERROR(__xludf.DUMMYFUNCTION("""COMPUTED_VALUE"""),0.4286)</f>
        <v>0.4286</v>
      </c>
      <c r="C75" s="2">
        <f>IFERROR(__xludf.DUMMYFUNCTION("""COMPUTED_VALUE"""),0.0)</f>
        <v>0</v>
      </c>
    </row>
    <row r="76">
      <c r="A76" s="2" t="str">
        <f>IFERROR(__xludf.DUMMYFUNCTION("""COMPUTED_VALUE"""),"Qwen3")</f>
        <v>Qwen3</v>
      </c>
      <c r="B76" s="2">
        <f>IFERROR(__xludf.DUMMYFUNCTION("""COMPUTED_VALUE"""),0.4286)</f>
        <v>0.4286</v>
      </c>
      <c r="C76" s="2">
        <f>IFERROR(__xludf.DUMMYFUNCTION("""COMPUTED_VALUE"""),0.7143)</f>
        <v>0.7143</v>
      </c>
    </row>
    <row r="78">
      <c r="A78" s="1" t="s">
        <v>51</v>
      </c>
      <c r="B78" s="1" t="s">
        <v>52</v>
      </c>
      <c r="C78" s="1" t="s">
        <v>53</v>
      </c>
    </row>
    <row r="79">
      <c r="A79" s="2" t="str">
        <f>IFERROR(__xludf.DUMMYFUNCTION("QUERY(fig_52_task_completion_wide!A2:I73, ""SELECT I, E, G WHERE A = 'scenario_08'"", 0)"),"ASI1")</f>
        <v>ASI1</v>
      </c>
      <c r="B79" s="2">
        <f>IFERROR(__xludf.DUMMYFUNCTION("""COMPUTED_VALUE"""),1.0)</f>
        <v>1</v>
      </c>
      <c r="C79" s="2">
        <f>IFERROR(__xludf.DUMMYFUNCTION("""COMPUTED_VALUE"""),0.0)</f>
        <v>0</v>
      </c>
    </row>
    <row r="80">
      <c r="A80" s="2" t="str">
        <f>IFERROR(__xludf.DUMMYFUNCTION("""COMPUTED_VALUE"""),"Haiku")</f>
        <v>Haiku</v>
      </c>
      <c r="B80" s="2">
        <f>IFERROR(__xludf.DUMMYFUNCTION("""COMPUTED_VALUE"""),1.0)</f>
        <v>1</v>
      </c>
      <c r="C80" s="2">
        <f>IFERROR(__xludf.DUMMYFUNCTION("""COMPUTED_VALUE"""),0.5)</f>
        <v>0.5</v>
      </c>
    </row>
    <row r="81">
      <c r="A81" s="2" t="str">
        <f>IFERROR(__xludf.DUMMYFUNCTION("""COMPUTED_VALUE"""),"DSR1")</f>
        <v>DSR1</v>
      </c>
      <c r="B81" s="2">
        <f>IFERROR(__xludf.DUMMYFUNCTION("""COMPUTED_VALUE"""),1.0)</f>
        <v>1</v>
      </c>
      <c r="C81" s="2">
        <f>IFERROR(__xludf.DUMMYFUNCTION("""COMPUTED_VALUE"""),1.0)</f>
        <v>1</v>
      </c>
    </row>
    <row r="82">
      <c r="A82" s="2" t="str">
        <f>IFERROR(__xludf.DUMMYFUNCTION("""COMPUTED_VALUE"""),"Gemini")</f>
        <v>Gemini</v>
      </c>
      <c r="B82" s="2">
        <f>IFERROR(__xludf.DUMMYFUNCTION("""COMPUTED_VALUE"""),1.0)</f>
        <v>1</v>
      </c>
      <c r="C82" s="2">
        <f>IFERROR(__xludf.DUMMYFUNCTION("""COMPUTED_VALUE"""),0.5)</f>
        <v>0.5</v>
      </c>
    </row>
    <row r="83">
      <c r="A83" s="2" t="str">
        <f>IFERROR(__xludf.DUMMYFUNCTION("""COMPUTED_VALUE"""),"Gemma-4")</f>
        <v>Gemma-4</v>
      </c>
      <c r="B83" s="2">
        <f>IFERROR(__xludf.DUMMYFUNCTION("""COMPUTED_VALUE"""),1.0)</f>
        <v>1</v>
      </c>
      <c r="C83" s="2">
        <f>IFERROR(__xludf.DUMMYFUNCTION("""COMPUTED_VALUE"""),1.0)</f>
        <v>1</v>
      </c>
    </row>
    <row r="84">
      <c r="A84" s="2" t="str">
        <f>IFERROR(__xludf.DUMMYFUNCTION("""COMPUTED_VALUE"""),"GPT-4o")</f>
        <v>GPT-4o</v>
      </c>
      <c r="B84" s="2">
        <f>IFERROR(__xludf.DUMMYFUNCTION("""COMPUTED_VALUE"""),1.0)</f>
        <v>1</v>
      </c>
      <c r="C84" s="2">
        <f>IFERROR(__xludf.DUMMYFUNCTION("""COMPUTED_VALUE"""),1.0)</f>
        <v>1</v>
      </c>
    </row>
    <row r="85">
      <c r="A85" s="2" t="str">
        <f>IFERROR(__xludf.DUMMYFUNCTION("""COMPUTED_VALUE"""),"GPT-OSS")</f>
        <v>GPT-OSS</v>
      </c>
      <c r="B85" s="2">
        <f>IFERROR(__xludf.DUMMYFUNCTION("""COMPUTED_VALUE"""),0.0)</f>
        <v>0</v>
      </c>
      <c r="C85" s="2">
        <f>IFERROR(__xludf.DUMMYFUNCTION("""COMPUTED_VALUE"""),1.0)</f>
        <v>1</v>
      </c>
    </row>
    <row r="86">
      <c r="A86" s="2" t="str">
        <f>IFERROR(__xludf.DUMMYFUNCTION("""COMPUTED_VALUE"""),"LLaMA")</f>
        <v>LLaMA</v>
      </c>
      <c r="B86" s="2">
        <f>IFERROR(__xludf.DUMMYFUNCTION("""COMPUTED_VALUE"""),1.0)</f>
        <v>1</v>
      </c>
      <c r="C86" s="2">
        <f>IFERROR(__xludf.DUMMYFUNCTION("""COMPUTED_VALUE"""),1.0)</f>
        <v>1</v>
      </c>
    </row>
    <row r="87">
      <c r="A87" s="2" t="str">
        <f>IFERROR(__xludf.DUMMYFUNCTION("""COMPUTED_VALUE"""),"Qwen3")</f>
        <v>Qwen3</v>
      </c>
      <c r="B87" s="2">
        <f>IFERROR(__xludf.DUMMYFUNCTION("""COMPUTED_VALUE"""),0.0)</f>
        <v>0</v>
      </c>
      <c r="C87" s="2">
        <f>IFERROR(__xludf.DUMMYFUNCTION("""COMPUTED_VALUE"""),1.0)</f>
        <v>1</v>
      </c>
    </row>
  </sheetData>
  <drawing r:id="rId1"/>
</worksheet>
</file>